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Web_Andez\"/>
    </mc:Choice>
  </mc:AlternateContent>
  <xr:revisionPtr revIDLastSave="0" documentId="13_ncr:1_{4F396AEE-830D-45C7-BF5C-F510F77D9436}" xr6:coauthVersionLast="47" xr6:coauthVersionMax="47" xr10:uidLastSave="{00000000-0000-0000-0000-000000000000}"/>
  <bookViews>
    <workbookView xWindow="-108" yWindow="-108" windowWidth="23256" windowHeight="12456" xr2:uid="{5D42B345-DB14-48C1-9A38-23908D3120E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65" i="1"/>
  <c r="D63" i="1"/>
  <c r="D8" i="1" l="1"/>
  <c r="D9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Andez A</author>
  </authors>
  <commentList>
    <comment ref="E28" authorId="0" shapeId="0" xr:uid="{FE58B689-6AA9-4115-A716-18151463D7ED}">
      <text>
        <r>
          <rPr>
            <b/>
            <sz val="9"/>
            <color indexed="81"/>
            <rFont val="Tahoma"/>
            <charset val="1"/>
          </rPr>
          <t>Andez A:</t>
        </r>
        <r>
          <rPr>
            <sz val="9"/>
            <color indexed="81"/>
            <rFont val="Tahoma"/>
            <charset val="1"/>
          </rPr>
          <t xml:space="preserve">
Es la frase institucional de cada línea</t>
        </r>
      </text>
    </comment>
    <comment ref="H35" authorId="0" shapeId="0" xr:uid="{B1807605-078F-4B9A-900E-954162BCAC7F}">
      <text>
        <r>
          <rPr>
            <b/>
            <sz val="9"/>
            <color indexed="81"/>
            <rFont val="Tahoma"/>
            <charset val="1"/>
          </rPr>
          <t>Andez A:</t>
        </r>
        <r>
          <rPr>
            <sz val="9"/>
            <color indexed="81"/>
            <rFont val="Tahoma"/>
            <charset val="1"/>
          </rPr>
          <t xml:space="preserve">
Es la imagen que se va a mostrar en las tarjetas Bimando, Accesorios, Monocomando… etc</t>
        </r>
      </text>
    </comment>
    <comment ref="H40" authorId="0" shapeId="0" xr:uid="{8069DE5D-2A90-49BA-BED7-16996BA43122}">
      <text>
        <r>
          <rPr>
            <b/>
            <sz val="9"/>
            <color indexed="81"/>
            <rFont val="Tahoma"/>
            <charset val="1"/>
          </rPr>
          <t>Andez A:</t>
        </r>
        <r>
          <rPr>
            <sz val="9"/>
            <color indexed="81"/>
            <rFont val="Tahoma"/>
            <charset val="1"/>
          </rPr>
          <t xml:space="preserve">
Imágenes para usar en página Estilos</t>
        </r>
      </text>
    </comment>
  </commentList>
</comments>
</file>

<file path=xl/sharedStrings.xml><?xml version="1.0" encoding="utf-8"?>
<sst xmlns="http://schemas.openxmlformats.org/spreadsheetml/2006/main" count="562" uniqueCount="283">
  <si>
    <t>Color</t>
  </si>
  <si>
    <t>ID</t>
  </si>
  <si>
    <t>NombreColor</t>
  </si>
  <si>
    <t>Activo</t>
  </si>
  <si>
    <t>Cromo</t>
  </si>
  <si>
    <t>Negro</t>
  </si>
  <si>
    <t>Bronce Viejo</t>
  </si>
  <si>
    <t>Linea</t>
  </si>
  <si>
    <t>NombreLinea</t>
  </si>
  <si>
    <t>CodigoLinea</t>
  </si>
  <si>
    <t>URLColor</t>
  </si>
  <si>
    <t>www</t>
  </si>
  <si>
    <t>Atribitos</t>
  </si>
  <si>
    <t>URLIcono</t>
  </si>
  <si>
    <t>NombreAtributo</t>
  </si>
  <si>
    <t>Facil instalacion</t>
  </si>
  <si>
    <t>100% metalico</t>
  </si>
  <si>
    <t>Antimovimiento</t>
  </si>
  <si>
    <t>Articulo</t>
  </si>
  <si>
    <t>CodigoArticulo</t>
  </si>
  <si>
    <t>NombreArticulo</t>
  </si>
  <si>
    <t>Bidet</t>
  </si>
  <si>
    <t>Llave de paso</t>
  </si>
  <si>
    <t>Lavatorio de apoyo</t>
  </si>
  <si>
    <t>CodigoColor</t>
  </si>
  <si>
    <t>04</t>
  </si>
  <si>
    <t>07</t>
  </si>
  <si>
    <t>05</t>
  </si>
  <si>
    <t>IDLinea</t>
  </si>
  <si>
    <t>IDArticulo</t>
  </si>
  <si>
    <t>URLManual</t>
  </si>
  <si>
    <t>URLRepuestos</t>
  </si>
  <si>
    <t>IdLinea</t>
  </si>
  <si>
    <t>IdArticulo</t>
  </si>
  <si>
    <t>Catagolos</t>
  </si>
  <si>
    <t>URLCatalogo</t>
  </si>
  <si>
    <t>Usuarios</t>
  </si>
  <si>
    <t>Nombre</t>
  </si>
  <si>
    <t>Apellido</t>
  </si>
  <si>
    <t>Mail</t>
  </si>
  <si>
    <t>Fernando</t>
  </si>
  <si>
    <t>Clingo</t>
  </si>
  <si>
    <t>Lucas</t>
  </si>
  <si>
    <t>Adler</t>
  </si>
  <si>
    <t>Analia</t>
  </si>
  <si>
    <t>Petroco</t>
  </si>
  <si>
    <t>Pass</t>
  </si>
  <si>
    <t>Rol</t>
  </si>
  <si>
    <t>Master</t>
  </si>
  <si>
    <t>Postventa</t>
  </si>
  <si>
    <t>Marketing</t>
  </si>
  <si>
    <t>NombreRol</t>
  </si>
  <si>
    <t>pass1</t>
  </si>
  <si>
    <t>pass2</t>
  </si>
  <si>
    <t>pass3</t>
  </si>
  <si>
    <t>Producto</t>
  </si>
  <si>
    <t>IdColor</t>
  </si>
  <si>
    <t>Descripcion</t>
  </si>
  <si>
    <t>Lorem ipsum dolor sit amet</t>
  </si>
  <si>
    <t>TipoProducto</t>
  </si>
  <si>
    <t>Tipo</t>
  </si>
  <si>
    <t>Bimando</t>
  </si>
  <si>
    <t>Monocomando</t>
  </si>
  <si>
    <t>Accesorio</t>
  </si>
  <si>
    <t>IdTipoProducto</t>
  </si>
  <si>
    <t>URLImagenSinFondo</t>
  </si>
  <si>
    <t>URLPortadaCatalogo</t>
  </si>
  <si>
    <t>Pais</t>
  </si>
  <si>
    <t>Paises</t>
  </si>
  <si>
    <t>Argentina</t>
  </si>
  <si>
    <t>Uruguay</t>
  </si>
  <si>
    <t>Paraguay</t>
  </si>
  <si>
    <t>Provincias</t>
  </si>
  <si>
    <t>Pronvincia</t>
  </si>
  <si>
    <t>IdPais</t>
  </si>
  <si>
    <t>Latitud</t>
  </si>
  <si>
    <t>Longitud</t>
  </si>
  <si>
    <t>Zoom</t>
  </si>
  <si>
    <t>Capital Federal</t>
  </si>
  <si>
    <t>Buenos Aires</t>
  </si>
  <si>
    <t>-34.6037</t>
  </si>
  <si>
    <t>-36.6769</t>
  </si>
  <si>
    <t>-43.2934</t>
  </si>
  <si>
    <t>PaginaDistribuidores</t>
  </si>
  <si>
    <t>URLPaginaDistribuidor</t>
  </si>
  <si>
    <t>URLLogo</t>
  </si>
  <si>
    <t>Distribuidores</t>
  </si>
  <si>
    <t>RazonSocial</t>
  </si>
  <si>
    <t>Direccion</t>
  </si>
  <si>
    <t>IdProvincia</t>
  </si>
  <si>
    <t>Telefono</t>
  </si>
  <si>
    <t>IdPagina</t>
  </si>
  <si>
    <t>Domus</t>
  </si>
  <si>
    <t>Blaisten Martinez</t>
  </si>
  <si>
    <t>Blaisten Palermo</t>
  </si>
  <si>
    <t>www.blaisten.com</t>
  </si>
  <si>
    <t>www.domus.com</t>
  </si>
  <si>
    <t>www.fedan.com</t>
  </si>
  <si>
    <t>Santa Fe</t>
  </si>
  <si>
    <t>5555-4554</t>
  </si>
  <si>
    <t>6556-1122</t>
  </si>
  <si>
    <t>4454-1222</t>
  </si>
  <si>
    <t>San Martin 1150</t>
  </si>
  <si>
    <t>Belgrano 5487</t>
  </si>
  <si>
    <t>Zapiola 987</t>
  </si>
  <si>
    <t>Borrar</t>
  </si>
  <si>
    <t>Agregar</t>
  </si>
  <si>
    <t>Hecho</t>
  </si>
  <si>
    <t>URLPlanos</t>
  </si>
  <si>
    <t>ManualInstalacion_Repuestos_Planos</t>
  </si>
  <si>
    <t>Match</t>
  </si>
  <si>
    <t>Giraffe</t>
  </si>
  <si>
    <t>Jazz</t>
  </si>
  <si>
    <t>IDProducto</t>
  </si>
  <si>
    <t>IDAtributo</t>
  </si>
  <si>
    <t>EsPortada</t>
  </si>
  <si>
    <t>IdProducto</t>
  </si>
  <si>
    <t>Titulo</t>
  </si>
  <si>
    <t>URLImagen</t>
  </si>
  <si>
    <t>Lavatorio Match primer plano</t>
  </si>
  <si>
    <t>Lavatorio Match plano abierto</t>
  </si>
  <si>
    <t>Bidet Match baño calacata</t>
  </si>
  <si>
    <t>Compras</t>
  </si>
  <si>
    <t>RRHH</t>
  </si>
  <si>
    <t>Ventas</t>
  </si>
  <si>
    <t>Linea 1</t>
  </si>
  <si>
    <t>Linea 2</t>
  </si>
  <si>
    <t>Celular</t>
  </si>
  <si>
    <t>Red</t>
  </si>
  <si>
    <t>URLRed</t>
  </si>
  <si>
    <t>X</t>
  </si>
  <si>
    <t>Youtube</t>
  </si>
  <si>
    <t>Facebook</t>
  </si>
  <si>
    <t>FraseInstitucionalLinea</t>
  </si>
  <si>
    <t>AtributosPorProductos (está en productos)</t>
  </si>
  <si>
    <t>Mails</t>
  </si>
  <si>
    <t>Telefonos</t>
  </si>
  <si>
    <t>RedesSociales</t>
  </si>
  <si>
    <t>IdEmpresa</t>
  </si>
  <si>
    <t>Empresa</t>
  </si>
  <si>
    <t>Nombre S A</t>
  </si>
  <si>
    <t>CUIT</t>
  </si>
  <si>
    <t>20-55223344-1</t>
  </si>
  <si>
    <t>Eva Peron 2543</t>
  </si>
  <si>
    <t>Localidad</t>
  </si>
  <si>
    <t>Munro</t>
  </si>
  <si>
    <t>Partido</t>
  </si>
  <si>
    <t>Vicente Lopez</t>
  </si>
  <si>
    <t>CP</t>
  </si>
  <si>
    <t>B1605BHA</t>
  </si>
  <si>
    <t>Horario</t>
  </si>
  <si>
    <t>Lun a Vier 8 a 16</t>
  </si>
  <si>
    <t>ImagenesAmbientaciones (está en productos)</t>
  </si>
  <si>
    <t>PaginaIndex</t>
  </si>
  <si>
    <t>Posicion</t>
  </si>
  <si>
    <t>Link</t>
  </si>
  <si>
    <t>LinkSN</t>
  </si>
  <si>
    <t>LanzamientoSN</t>
  </si>
  <si>
    <t>PausaSN</t>
  </si>
  <si>
    <t>Monocomando Cross</t>
  </si>
  <si>
    <t>Lavatorio Next</t>
  </si>
  <si>
    <t>Jabonera Rejilla</t>
  </si>
  <si>
    <t>Línea Cross</t>
  </si>
  <si>
    <t>Línea Next</t>
  </si>
  <si>
    <t>Linea Match</t>
  </si>
  <si>
    <t>Paginas</t>
  </si>
  <si>
    <t>Pagina</t>
  </si>
  <si>
    <t>Index</t>
  </si>
  <si>
    <t>TipoTexto</t>
  </si>
  <si>
    <t>Parrafo</t>
  </si>
  <si>
    <t>Frase</t>
  </si>
  <si>
    <t>ColorGradiente1</t>
  </si>
  <si>
    <t>ColorGradiente2</t>
  </si>
  <si>
    <t>ColorGradiente3</t>
  </si>
  <si>
    <t>ColorGradiente4</t>
  </si>
  <si>
    <t>ColorSolido</t>
  </si>
  <si>
    <t>Angulo</t>
  </si>
  <si>
    <t>Opacidad</t>
  </si>
  <si>
    <t>Blur</t>
  </si>
  <si>
    <t>Brillo</t>
  </si>
  <si>
    <t>Contraste</t>
  </si>
  <si>
    <t>EscalaGrises</t>
  </si>
  <si>
    <t>URLBackground</t>
  </si>
  <si>
    <t>Fuente</t>
  </si>
  <si>
    <t>Arial</t>
  </si>
  <si>
    <t>Time New Romans</t>
  </si>
  <si>
    <t>IdTipoTexto</t>
  </si>
  <si>
    <t>IdFuente</t>
  </si>
  <si>
    <t>#</t>
  </si>
  <si>
    <t>Tamaño</t>
  </si>
  <si>
    <t>Publicada</t>
  </si>
  <si>
    <t>NULL</t>
  </si>
  <si>
    <t>Mayuscula</t>
  </si>
  <si>
    <t>Espaciado</t>
  </si>
  <si>
    <t>IdBackground</t>
  </si>
  <si>
    <t>EdicionTexto</t>
  </si>
  <si>
    <t>EdicionBackground</t>
  </si>
  <si>
    <t>IdEdicionTexto</t>
  </si>
  <si>
    <t>DisenioPaginas</t>
  </si>
  <si>
    <t>URLFuente</t>
  </si>
  <si>
    <t>Arial, Helvetica, sans-serif</t>
  </si>
  <si>
    <t>'Times New Roman', Times, serif</t>
  </si>
  <si>
    <t>Courier New</t>
  </si>
  <si>
    <t>'Courier New', Courier, monospace</t>
  </si>
  <si>
    <t>Declaracion</t>
  </si>
  <si>
    <t>ClientesPostventa</t>
  </si>
  <si>
    <t>NombreApellido</t>
  </si>
  <si>
    <t>Piso</t>
  </si>
  <si>
    <t xml:space="preserve">CodigoPostal </t>
  </si>
  <si>
    <t>Jose Perez</t>
  </si>
  <si>
    <t>Maria Gomez</t>
  </si>
  <si>
    <t>Natalia Martinez</t>
  </si>
  <si>
    <t>aaaa@gmail.com</t>
  </si>
  <si>
    <t>dddd@gmail.com</t>
  </si>
  <si>
    <t>fffff@gmail.com</t>
  </si>
  <si>
    <t>A</t>
  </si>
  <si>
    <t>Mitre 2223</t>
  </si>
  <si>
    <t>DatosCompra</t>
  </si>
  <si>
    <t>IdDistribuidor</t>
  </si>
  <si>
    <t>FechaCompra</t>
  </si>
  <si>
    <t>Factura</t>
  </si>
  <si>
    <t>Subtipo</t>
  </si>
  <si>
    <t>SubtipoProducto</t>
  </si>
  <si>
    <t>Griferia para baño</t>
  </si>
  <si>
    <t>Griferia para cocina</t>
  </si>
  <si>
    <t>NombreBarrio</t>
  </si>
  <si>
    <t>DNI</t>
  </si>
  <si>
    <t>Numeracion</t>
  </si>
  <si>
    <t>DtoLote</t>
  </si>
  <si>
    <t>IdCliente</t>
  </si>
  <si>
    <t>IdFormaContacto</t>
  </si>
  <si>
    <t>Casos</t>
  </si>
  <si>
    <t>Fecha1erContacto</t>
  </si>
  <si>
    <t>Fecha1eraRespuesta</t>
  </si>
  <si>
    <t>FechaCierre</t>
  </si>
  <si>
    <t>IdMotivoContacto</t>
  </si>
  <si>
    <t>IdCodigoReclamo</t>
  </si>
  <si>
    <t>IdEstadoReclamo</t>
  </si>
  <si>
    <t>Consulta</t>
  </si>
  <si>
    <t>Solucion</t>
  </si>
  <si>
    <t>IdDatosCompra</t>
  </si>
  <si>
    <t>FechaOT</t>
  </si>
  <si>
    <t>NumeroOT</t>
  </si>
  <si>
    <t>Repuesto</t>
  </si>
  <si>
    <t>Cantidad</t>
  </si>
  <si>
    <t>Cierre ceramico</t>
  </si>
  <si>
    <t>Aireador TT</t>
  </si>
  <si>
    <t>IdTipoRespuesto</t>
  </si>
  <si>
    <t>IdModoSolucion</t>
  </si>
  <si>
    <t>Observaciones</t>
  </si>
  <si>
    <t>NumTiendanube</t>
  </si>
  <si>
    <t>NumOperacionML</t>
  </si>
  <si>
    <t>FechaCompraTNyML</t>
  </si>
  <si>
    <t>MontoCompra</t>
  </si>
  <si>
    <t>NumFacturaRepuesto</t>
  </si>
  <si>
    <t>NumGuiaCorreo</t>
  </si>
  <si>
    <t>IdRegistro</t>
  </si>
  <si>
    <t>EstadoReclamo</t>
  </si>
  <si>
    <t>Estado</t>
  </si>
  <si>
    <t>Abierto</t>
  </si>
  <si>
    <t>Cerrado</t>
  </si>
  <si>
    <t>Pedido a fábrica</t>
  </si>
  <si>
    <t>ModoSolucion</t>
  </si>
  <si>
    <t>Retira en fábrica</t>
  </si>
  <si>
    <t>Envio a distribuidor</t>
  </si>
  <si>
    <t>Envio a domicilio</t>
  </si>
  <si>
    <t>TipoRepuesto</t>
  </si>
  <si>
    <t>Convencional</t>
  </si>
  <si>
    <t>No Convencional</t>
  </si>
  <si>
    <t>Ninguno</t>
  </si>
  <si>
    <t>FormaContacto</t>
  </si>
  <si>
    <t>Web</t>
  </si>
  <si>
    <t>MotivoContacto</t>
  </si>
  <si>
    <t>CodigoMotivo</t>
  </si>
  <si>
    <t>Repuesto en garantia</t>
  </si>
  <si>
    <t>Falla de fabricacion</t>
  </si>
  <si>
    <t>Faltante</t>
  </si>
  <si>
    <t>RegistroPostventa</t>
  </si>
  <si>
    <t>Fecha</t>
  </si>
  <si>
    <t>Registro</t>
  </si>
  <si>
    <t>Zona</t>
  </si>
  <si>
    <t>Litoral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</si>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</sst>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49" fontId="0" fillId="0" borderId="7" xfId="0" applyNumberFormat="1" applyBorder="1"/>
    <xf numFmtId="0" fontId="0" fillId="2" borderId="5" xfId="0" applyFill="1" applyBorder="1"/>
    <xf numFmtId="0" fontId="0" fillId="2" borderId="8" xfId="0" applyFill="1" applyBorder="1"/>
    <xf numFmtId="0" fontId="0" fillId="4" borderId="0" xfId="0" applyFill="1"/>
    <xf numFmtId="0" fontId="0" fillId="5" borderId="0" xfId="0" applyFill="1"/>
    <xf numFmtId="0" fontId="0" fillId="3" borderId="0" xfId="0" applyFill="1"/>
    <xf numFmtId="0" fontId="1" fillId="0" borderId="5" xfId="0" applyFont="1" applyBorder="1"/>
    <xf numFmtId="0" fontId="0" fillId="2" borderId="7" xfId="0" applyFill="1" applyBorder="1"/>
    <xf numFmtId="0" fontId="0" fillId="2" borderId="0" xfId="0" applyFill="1"/>
    <xf numFmtId="14" fontId="0" fillId="0" borderId="7" xfId="0" applyNumberFormat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0" fontId="0" fillId="2" borderId="0" xfId="0" applyFill="1" applyBorder="1"/>
    <xf numFmtId="0" fontId="0" fillId="2" borderId="5" xfId="0" applyFont="1" applyFill="1" applyBorder="1"/>
    <xf numFmtId="0" fontId="0" fillId="0" borderId="5" xfId="0" applyFont="1" applyBorder="1"/>
    <xf numFmtId="0" fontId="0" fillId="2" borderId="8" xfId="0" applyFont="1" applyFill="1" applyBorder="1"/>
    <xf numFmtId="49" fontId="0" fillId="0" borderId="0" xfId="0" applyNumberFormat="1" applyBorder="1"/>
  </cellXfs>
  <cellStyles count="1">
    <cellStyle name="Normal" xfId="0" builtinId="0"/>
  </cellStyles>
  <dxfs count="62">
    <dxf>
      <numFmt numFmtId="30" formatCode="@"/>
    </dxf>
    <dxf>
      <numFmt numFmtId="30" formatCode="@"/>
    </dxf>
    <dxf>
      <fill>
        <patternFill patternType="solid">
          <fgColor theme="0" tint="-0.14999847407452621"/>
          <bgColor theme="0" tint="-0.14999847407452621"/>
        </patternFill>
      </fill>
    </dxf>
    <dxf>
      <numFmt numFmtId="19" formatCode="d/m/yyyy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medium">
          <color indexed="64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833EF-4E6F-4FA0-A7A0-6E6817E2B38A}" name="Tabla1" displayName="Tabla1" ref="A13:E16" totalsRowShown="0">
  <autoFilter ref="A13:E16" xr:uid="{D96833EF-4E6F-4FA0-A7A0-6E6817E2B38A}"/>
  <tableColumns count="5">
    <tableColumn id="1" xr3:uid="{317907DD-843B-4FA4-8837-A0A78A4A0507}" name="ID"/>
    <tableColumn id="5" xr3:uid="{E0921BEC-D870-4C51-B3FC-23E013804DC3}" name="CodigoColor" dataDxfId="61"/>
    <tableColumn id="2" xr3:uid="{8053C3DC-ACA4-4AAB-9AFB-34FBDDEBC52B}" name="NombreColor"/>
    <tableColumn id="4" xr3:uid="{1D3A10F0-E8C4-471A-B4A8-2001816AFFF2}" name="URLColor"/>
    <tableColumn id="3" xr3:uid="{D04813E9-6E48-439B-A711-735DEB41533C}" name="Activ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307171-21C3-4D19-9190-21EBBEF7C7BE}" name="Tabla13" displayName="Tabla13" ref="G13:K16" totalsRowShown="0">
  <autoFilter ref="G13:K16" xr:uid="{5C307171-21C3-4D19-9190-21EBBEF7C7BE}"/>
  <tableColumns count="5">
    <tableColumn id="1" xr3:uid="{68AE05C3-BABF-43F5-8570-0421BA4C67E8}" name="ID"/>
    <tableColumn id="4" xr3:uid="{59F766FF-BD10-4A8B-9F9F-31F1C7687013}" name="CodigoLinea"/>
    <tableColumn id="2" xr3:uid="{6F05575C-428D-4038-A5FF-312E257A42E9}" name="NombreLinea"/>
    <tableColumn id="5" xr3:uid="{E68168E7-9BED-421B-9270-741133D3D01A}" name="Descripcion"/>
    <tableColumn id="3" xr3:uid="{B831A1C2-04F5-4FEF-939E-BB8F988F8105}" name="Activ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BE8E47-D1D9-436F-87A2-5F1A6301B5E5}" name="Tabla14" displayName="Tabla14" ref="M13:P16" totalsRowShown="0">
  <autoFilter ref="M13:P16" xr:uid="{43BE8E47-D1D9-436F-87A2-5F1A6301B5E5}"/>
  <tableColumns count="4">
    <tableColumn id="1" xr3:uid="{1CA967F6-5220-415A-8D46-EDE2F99DB4E7}" name="ID"/>
    <tableColumn id="2" xr3:uid="{85968E26-C5C2-48F7-940F-A91CDCD7A74E}" name="NombreAtributo"/>
    <tableColumn id="4" xr3:uid="{C4964F78-D309-4AE6-B95D-45255CE7F137}" name="URLIcono"/>
    <tableColumn id="3" xr3:uid="{2A6901F1-A742-463F-9839-9AF01406419A}" name="Activ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3F9B0B-4EAC-4696-9C48-7CF3279FF43E}" name="Tabla136" displayName="Tabla136" ref="A20:D23" totalsRowShown="0">
  <autoFilter ref="A20:D23" xr:uid="{E93F9B0B-4EAC-4696-9C48-7CF3279FF43E}"/>
  <tableColumns count="4">
    <tableColumn id="1" xr3:uid="{B247D060-56D9-4D4D-BC13-0360ED25350B}" name="ID"/>
    <tableColumn id="4" xr3:uid="{1474AB8E-E5FE-4771-8CC8-E20C35E99A31}" name="CodigoArticulo"/>
    <tableColumn id="2" xr3:uid="{B62CA844-EA2B-45F2-81DE-0E4DA97CAB0C}" name="NombreArticulo"/>
    <tableColumn id="3" xr3:uid="{5E578CC4-F599-429C-83E0-503501B7A644}" name="Activ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7C16AE-1BA5-492E-ADA8-1AF74DE3B1D8}" name="Tabla6" displayName="Tabla6" ref="F20:L23" totalsRowShown="0">
  <autoFilter ref="F20:L23" xr:uid="{917C16AE-1BA5-492E-ADA8-1AF74DE3B1D8}"/>
  <tableColumns count="7">
    <tableColumn id="1" xr3:uid="{2465B3C3-AF86-439D-9B32-59BFDC73E6B7}" name="ID"/>
    <tableColumn id="2" xr3:uid="{A9F2D02E-9CE3-4EB1-8991-D57071D10D31}" name="IDLinea"/>
    <tableColumn id="3" xr3:uid="{3CBF8077-7A4D-4703-9A5E-186FFA3C80B6}" name="IDArticulo"/>
    <tableColumn id="4" xr3:uid="{33CF0639-7E0E-4323-ABAC-57E9E79BAC94}" name="URLManual"/>
    <tableColumn id="6" xr3:uid="{8FB3C041-5F4E-4C6B-BFEA-F7EF8CCA380F}" name="URLRepuestos"/>
    <tableColumn id="7" xr3:uid="{19883A37-D7EF-411E-B5D4-0F9C58EA4DF5}" name="URLPlanos"/>
    <tableColumn id="5" xr3:uid="{9FBFC04D-E638-4A8E-BF60-60BF85B463B6}" name="Activo" dataDxfId="6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4C573D-2F54-4371-9E05-AC6C5BF3DEB9}" name="Tabla9" displayName="Tabla9" ref="A27:G30" totalsRowShown="0">
  <autoFilter ref="A27:G30" xr:uid="{444C573D-2F54-4371-9E05-AC6C5BF3DEB9}"/>
  <tableColumns count="7">
    <tableColumn id="1" xr3:uid="{F76EC170-46E9-4663-A823-2D12555F5929}" name="ID"/>
    <tableColumn id="2" xr3:uid="{AF8AF063-458B-4011-935C-9BE59CDAC049}" name="IdLinea"/>
    <tableColumn id="7" xr3:uid="{7CB1A4AD-75EA-4DBB-9D7F-D5EB918E41E7}" name="IdTipoProducto"/>
    <tableColumn id="6" xr3:uid="{11F640C2-28CC-4C58-B92E-E1FC7591679B}" name="URLPortadaCatalogo"/>
    <tableColumn id="5" xr3:uid="{D8C12DE8-A0F0-4EA8-A39E-AF452068F835}" name="FraseInstitucionalLinea"/>
    <tableColumn id="3" xr3:uid="{6E18E1E2-D428-4B63-BF66-7CD91872A457}" name="URLCatalogo"/>
    <tableColumn id="4" xr3:uid="{F759632D-1FAF-4E10-B366-974627C36691}" name="Activ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F67F5D-77F7-41B7-A265-5E336044A6C5}" name="Tabla15" displayName="Tabla15" ref="A6:G9" totalsRowShown="0">
  <autoFilter ref="A6:G9" xr:uid="{00F67F5D-77F7-41B7-A265-5E336044A6C5}"/>
  <tableColumns count="7">
    <tableColumn id="1" xr3:uid="{F32EBD58-4145-475F-A8DD-60533C773560}" name="ID"/>
    <tableColumn id="5" xr3:uid="{BA938A3C-223C-48BE-9D99-D519D9B88EDF}" name="Nombre" dataDxfId="59"/>
    <tableColumn id="2" xr3:uid="{BF58FE61-5919-4F9C-BC69-7F6F4B0BCCB1}" name="Apellido"/>
    <tableColumn id="4" xr3:uid="{B217BF12-7466-47C6-83EC-0600B0F7EE4B}" name="Mail">
      <calculatedColumnFormula>CONCATENATE(Tabla15[[#This Row],[Nombre]],Tabla15[[#This Row],[Apellido]],"@andez.com.ar")</calculatedColumnFormula>
    </tableColumn>
    <tableColumn id="7" xr3:uid="{E6685580-108B-41B0-8A5A-4C86196B0BE1}" name="Pass"/>
    <tableColumn id="6" xr3:uid="{E75EBA41-FF6A-4A2A-BCBE-F5043BE4BB25}" name="Rol"/>
    <tableColumn id="3" xr3:uid="{4CBF3E4F-4092-4764-8AB5-1C537D572D44}" name="Activ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02B214-F2E2-4E21-B4A5-0BA8B382E09A}" name="Tabla1311" displayName="Tabla1311" ref="I6:K9" totalsRowShown="0">
  <autoFilter ref="I6:K9" xr:uid="{2102B214-F2E2-4E21-B4A5-0BA8B382E09A}"/>
  <tableColumns count="3">
    <tableColumn id="1" xr3:uid="{178377D0-D1D1-4F7B-AB43-13C5F237945D}" name="ID"/>
    <tableColumn id="2" xr3:uid="{08858ABF-8A7D-4B96-9D72-835B85CC5E74}" name="NombreRol"/>
    <tableColumn id="3" xr3:uid="{EE3DFDEC-9C62-498D-8488-7722C3BC5547}" name="Activo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B3327E-5FDA-4BB7-AACF-FABE81E48666}" name="Tabla11" displayName="Tabla11" ref="M27:P30" totalsRowShown="0">
  <autoFilter ref="M27:P30" xr:uid="{F6B3327E-5FDA-4BB7-AACF-FABE81E48666}"/>
  <tableColumns count="4">
    <tableColumn id="1" xr3:uid="{26F76265-568B-4A28-AA28-6DA1CF7F5397}" name="ID"/>
    <tableColumn id="2" xr3:uid="{A81F65B5-D9C2-4F7A-9651-B297627921BE}" name="Tipo"/>
    <tableColumn id="4" xr3:uid="{DAB68CD9-3919-4F19-B6D2-6F30B1F19B70}" name="Subtipo"/>
    <tableColumn id="3" xr3:uid="{6BF61F58-B964-4C51-B2A6-1D6E99603A94}" name="Activo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48E125-4D16-4012-9F79-63437C954797}" name="Tabla12" displayName="Tabla12" ref="A34:I37" totalsRowShown="0">
  <autoFilter ref="A34:I37" xr:uid="{C948E125-4D16-4012-9F79-63437C954797}"/>
  <tableColumns count="9">
    <tableColumn id="1" xr3:uid="{BD0E8C6A-3C45-49E2-AB49-91B099BD2122}" name="ID"/>
    <tableColumn id="2" xr3:uid="{E5890F45-7791-44F9-8046-3CC124D03A32}" name="IdLinea"/>
    <tableColumn id="3" xr3:uid="{516F3A39-1E5C-4E02-A2AD-8F0BBB41EB3A}" name="IdArticulo"/>
    <tableColumn id="5" xr3:uid="{87C9AA3F-6BA4-4E22-8E82-15E97E6D50FC}" name="Descripcion"/>
    <tableColumn id="6" xr3:uid="{C06ABFA7-CFE1-4192-B78E-76126E924EE2}" name="IdColor"/>
    <tableColumn id="7" xr3:uid="{8A3460C8-C859-46D9-A894-FAAD27C5355E}" name="IdTipoProducto"/>
    <tableColumn id="8" xr3:uid="{BEF156AE-3159-4D3E-89DC-BAEE08FD8A77}" name="URLImagenSinFondo"/>
    <tableColumn id="11" xr3:uid="{4A9DC7A9-BEBE-470B-9DF5-8B0A963D4E42}" name="EsPortada"/>
    <tableColumn id="9" xr3:uid="{861CF468-6400-4AEF-A8D2-F55987D2F232}" name="Activo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CB6618-AB30-4CE3-B30A-6938E6F1145F}" name="Tabla16" displayName="Tabla16" ref="A41:F44" totalsRowShown="0">
  <autoFilter ref="A41:F44" xr:uid="{81CB6618-AB30-4CE3-B30A-6938E6F1145F}"/>
  <tableColumns count="6">
    <tableColumn id="1" xr3:uid="{C6605137-9E60-4417-BE9D-22DF41FEA57D}" name="ID"/>
    <tableColumn id="2" xr3:uid="{D82CDF84-BD14-4C63-ABBA-8F2236A9C0E4}" name="Pais"/>
    <tableColumn id="3" xr3:uid="{FA78D055-E341-4362-A23A-0CCFC591E8FA}" name="Latitud" dataDxfId="58"/>
    <tableColumn id="4" xr3:uid="{36EB177E-ACE1-4B78-A56A-A9F891312B25}" name="Longitud" dataDxfId="57"/>
    <tableColumn id="5" xr3:uid="{4122267C-292B-476B-8AB1-41CBE8A90AAF}" name="Zoom"/>
    <tableColumn id="7" xr3:uid="{0270C110-04E9-4179-AF06-958CA4E37E9B}" name="Activo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F32F6B3-AC45-462F-BE18-EFE2DD57FE9B}" name="Tabla17" displayName="Tabla17" ref="H41:M44" totalsRowShown="0" headerRowDxfId="56" dataDxfId="55">
  <autoFilter ref="H41:M44" xr:uid="{EF32F6B3-AC45-462F-BE18-EFE2DD57FE9B}"/>
  <tableColumns count="6">
    <tableColumn id="1" xr3:uid="{C8F6ED57-5FD2-4FB3-A4A5-BC3965E98B15}" name="ID" dataDxfId="54"/>
    <tableColumn id="2" xr3:uid="{65B99387-EDCD-429B-B81B-A4F58479A304}" name="IdProducto" dataDxfId="53"/>
    <tableColumn id="3" xr3:uid="{5D9C0348-2DF4-47CC-977C-AAFB9F19E959}" name="Titulo" dataDxfId="52"/>
    <tableColumn id="4" xr3:uid="{1CACB54F-DC9D-41AC-A04F-171EF34060DC}" name="URLImagen" dataDxfId="51"/>
    <tableColumn id="5" xr3:uid="{E836C9A1-0FCD-4424-8667-FBB476A992FD}" name="Publicada"/>
    <tableColumn id="7" xr3:uid="{824500A6-D872-42FD-9C38-60CB54869E2F}" name="Activo" dataDxfId="5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76B83A-5CAA-44B8-B4B3-ACD657CD503E}" name="Tabla1617" displayName="Tabla1617" ref="A48:D51" totalsRowShown="0">
  <autoFilter ref="A48:D51" xr:uid="{3A76B83A-5CAA-44B8-B4B3-ACD657CD503E}"/>
  <tableColumns count="4">
    <tableColumn id="1" xr3:uid="{D7179099-54E6-49F3-8F59-442A5D0581CB}" name="ID"/>
    <tableColumn id="2" xr3:uid="{5E47EA42-619C-4E41-8AB4-D27AE93B62D5}" name="URLPaginaDistribuidor"/>
    <tableColumn id="3" xr3:uid="{3DD61CD5-6488-41C7-BB9A-29A78F1DDB38}" name="URLLogo"/>
    <tableColumn id="7" xr3:uid="{B1D0386F-1AF3-4032-898D-2999B1416A75}" name="Activo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F87D6B-7A82-4430-960F-AC240B40C11C}" name="Tabla18" displayName="Tabla18" ref="A55:I58" totalsRowShown="0">
  <autoFilter ref="A55:I58" xr:uid="{04F87D6B-7A82-4430-960F-AC240B40C11C}"/>
  <tableColumns count="9">
    <tableColumn id="1" xr3:uid="{C437CB56-2117-4AF6-83DD-535B7DF46C17}" name="ID"/>
    <tableColumn id="2" xr3:uid="{6C22825E-C1CE-4586-81A5-E8191FE46EFB}" name="RazonSocial"/>
    <tableColumn id="3" xr3:uid="{650899D4-4E19-437F-9FCF-B4D26F2AA0DB}" name="Direccion"/>
    <tableColumn id="4" xr3:uid="{1E07E83B-09DC-40FD-907E-40F4CBC0A570}" name="IdProvincia"/>
    <tableColumn id="5" xr3:uid="{6138418F-A367-4A68-8F05-2638E82A22BC}" name="Telefono"/>
    <tableColumn id="6" xr3:uid="{80260CDA-43B3-49C5-B2E8-6D4D4EE4367B}" name="Latitud" dataDxfId="49"/>
    <tableColumn id="7" xr3:uid="{D1025C6A-57D3-4E57-916D-CF79774C6EAF}" name="Longitud" dataDxfId="48"/>
    <tableColumn id="8" xr3:uid="{FACFCBBE-C8C5-4011-911D-7F4D64577C47}" name="IdPagina"/>
    <tableColumn id="9" xr3:uid="{3EE8280A-E1AE-43CB-8AA3-681D1032743D}" name="Activo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BCDECB-3201-4C98-AA8D-79812894A18B}" name="Tabla19" displayName="Tabla19" ref="K34:N37" totalsRowShown="0" headerRowDxfId="47" dataDxfId="46">
  <autoFilter ref="K34:N37" xr:uid="{36798AE9-B843-4477-9F23-32045BDEF7D7}"/>
  <tableColumns count="4">
    <tableColumn id="1" xr3:uid="{E050CEA3-2793-4698-9E45-C3447ADCD555}" name="ID" dataDxfId="45"/>
    <tableColumn id="2" xr3:uid="{03295AE7-34B5-4134-9D2F-2268D15B310C}" name="IDProducto" dataDxfId="44"/>
    <tableColumn id="3" xr3:uid="{1564E106-D50F-4573-A696-EE197325F0F3}" name="IDAtributo" dataDxfId="43"/>
    <tableColumn id="4" xr3:uid="{5F701778-C720-415C-9979-8380EB9AB80C}" name="Activo" dataDxfId="42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37683B-2521-4501-AE41-E6F0058D9D80}" name="Tabla1719" displayName="Tabla1719" ref="F48:M51" totalsRowShown="0">
  <autoFilter ref="F48:M51" xr:uid="{05CA7051-E28E-4B32-9032-EE45922419A6}"/>
  <tableColumns count="8">
    <tableColumn id="1" xr3:uid="{76441B91-C9F3-418E-9F7A-2145EC66A51B}" name="ID"/>
    <tableColumn id="2" xr3:uid="{B7D7EADF-0604-4B90-A7CA-6537AE39152D}" name="Pronvincia"/>
    <tableColumn id="3" xr3:uid="{FBCCEEC7-DBEE-4480-8CBE-1F5805CA9202}" name="IdPais"/>
    <tableColumn id="4" xr3:uid="{0A3D75EA-6C18-48E0-9489-C5D19B3AC70A}" name="Latitud" dataDxfId="1"/>
    <tableColumn id="5" xr3:uid="{ACBD9873-D350-427F-993B-2B1B42296D9B}" name="Longitud" dataDxfId="0"/>
    <tableColumn id="6" xr3:uid="{957CA68C-6225-4C37-B8D5-8FF8C064FB1C}" name="Zoom"/>
    <tableColumn id="8" xr3:uid="{33319F29-BC62-4963-B0AA-34AC0E216488}" name="Zona"/>
    <tableColumn id="7" xr3:uid="{D19F9B22-3CC1-4E0E-B3DB-56D9B346F0CD}" name="Activo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66B8F6B-A06F-42EB-B1CE-F5AC470DCC17}" name="Tabla20" displayName="Tabla20" ref="A62:E65" totalsRowShown="0" headerRowDxfId="41" dataDxfId="40">
  <autoFilter ref="A62:E65" xr:uid="{6995137C-E78D-4F26-A126-F3AEFE2A2B13}"/>
  <tableColumns count="5">
    <tableColumn id="1" xr3:uid="{7C1F763D-9A29-4F91-BB26-5F2CF68260F0}" name="ID" dataDxfId="39"/>
    <tableColumn id="5" xr3:uid="{F0BF2187-ECA7-4173-9FAC-3BC72EFDB82F}" name="IdEmpresa" dataDxfId="38"/>
    <tableColumn id="2" xr3:uid="{98E75056-4A9A-4C56-8FA5-EFD4D867777B}" name="Nombre" dataDxfId="37"/>
    <tableColumn id="3" xr3:uid="{48A2AE2B-7A42-420C-8BB3-5F9F2AA01721}" name="Mail" dataDxfId="36">
      <calculatedColumnFormula>CONCATENATE(C63,"@andez.com.ar")</calculatedColumnFormula>
    </tableColumn>
    <tableColumn id="4" xr3:uid="{31D99612-66DC-4B54-A747-6C39765D7B66}" name="Activo" dataDxfId="35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B2EAABA-4403-411A-98F0-A8284D43302C}" name="Tabla2021" displayName="Tabla2021" ref="G62:K65" totalsRowShown="0" headerRowDxfId="34" dataDxfId="33">
  <autoFilter ref="G62:K65" xr:uid="{89087EED-CE2D-441A-9746-B0BA56EA9A63}"/>
  <tableColumns count="5">
    <tableColumn id="1" xr3:uid="{6D3F8F4E-2473-4BE6-A51E-C3C3E4C26133}" name="ID" dataDxfId="32"/>
    <tableColumn id="5" xr3:uid="{8C181956-53C7-4FD2-BAAB-42B1CDE2E84E}" name="IdEmpresa" dataDxfId="31"/>
    <tableColumn id="2" xr3:uid="{12B007DF-889A-4CDB-93CC-EBEFCBD3A3E9}" name="Nombre" dataDxfId="30"/>
    <tableColumn id="3" xr3:uid="{A94B5F86-8442-44DD-9C03-77F51D7F5B8D}" name="Telefono" dataDxfId="29">
      <calculatedColumnFormula>CONCATENATE(I63,"@andez.com.ar")</calculatedColumnFormula>
    </tableColumn>
    <tableColumn id="4" xr3:uid="{0E412ADD-9FF3-43E1-BDA1-A917D6B1E4D7}" name="Activo" dataDxfId="28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F3FF2B6-156D-475C-B60E-2BBAE1F181CE}" name="Tabla21" displayName="Tabla21" ref="A69:E72" totalsRowShown="0" headerRowDxfId="27" dataDxfId="26" tableBorderDxfId="25">
  <autoFilter ref="A69:E72" xr:uid="{58000D4A-AEBA-4D49-B463-180C8FD8A937}"/>
  <tableColumns count="5">
    <tableColumn id="1" xr3:uid="{E9F2D081-00F6-4B92-9DFE-6473CB6B3F38}" name="ID" dataDxfId="24"/>
    <tableColumn id="5" xr3:uid="{FE107DC5-A1C2-4F54-BC82-5BBB32CCABC3}" name="IdEmpresa" dataDxfId="23"/>
    <tableColumn id="2" xr3:uid="{DE65DD1F-F1BA-4548-A19A-4B9DD2857A6F}" name="Red" dataDxfId="22"/>
    <tableColumn id="3" xr3:uid="{23F951D4-E519-45F7-81C5-69ED4EA385E4}" name="URLRed" dataDxfId="21"/>
    <tableColumn id="4" xr3:uid="{E5F1016C-C8F1-4FEA-B687-B57CB00F2E70}" name="Activo" dataDxfId="20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69ADF8-2405-479D-8112-7564F0940768}" name="Tabla22" displayName="Tabla22" ref="A76:J77" totalsRowShown="0" headerRowDxfId="19" dataDxfId="18">
  <autoFilter ref="A76:J77" xr:uid="{A2E83C68-75BA-4C98-B80E-E4E7E2B0B82C}"/>
  <tableColumns count="10">
    <tableColumn id="1" xr3:uid="{173EAAD2-F12F-4372-8FA2-00B32059C1EB}" name="ID" dataDxfId="17"/>
    <tableColumn id="2" xr3:uid="{3E7AAA46-3847-4587-A43F-E688C1582045}" name="RazonSocial" dataDxfId="16"/>
    <tableColumn id="4" xr3:uid="{7727AE8E-759C-4DE1-86AE-BDFED86835D0}" name="CUIT" dataDxfId="15"/>
    <tableColumn id="5" xr3:uid="{BBA783BB-BBBB-4233-929D-4BF68AFA091A}" name="Direccion" dataDxfId="14"/>
    <tableColumn id="6" xr3:uid="{419A73DC-BE03-4D90-BE0C-9779F3EB2DDB}" name="Localidad" dataDxfId="13"/>
    <tableColumn id="7" xr3:uid="{BE8C959F-F07F-4076-8E57-3EA25221B957}" name="Partido" dataDxfId="12"/>
    <tableColumn id="8" xr3:uid="{DB60E2FA-C8A3-4C27-BCAB-41F7E5C99855}" name="IdProvincia" dataDxfId="11"/>
    <tableColumn id="9" xr3:uid="{EC23197E-97BD-4D2B-AF77-BAEDEAEEEB33}" name="CP" dataDxfId="10"/>
    <tableColumn id="10" xr3:uid="{7234FBEF-54AA-4FBE-8D11-84EDF024DAB3}" name="Horario" dataDxfId="9"/>
    <tableColumn id="3" xr3:uid="{2D33166C-2999-4BC9-8B00-7F06B4D84FF1}" name="Activo" dataDxfId="8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610188-F7B2-40FB-B0A9-E18135492A82}" name="Tabla7" displayName="Tabla7" ref="A81:L84" totalsRowShown="0">
  <autoFilter ref="A81:L84" xr:uid="{93610188-F7B2-40FB-B0A9-E18135492A82}"/>
  <tableColumns count="12">
    <tableColumn id="1" xr3:uid="{1035A3C3-56C5-4CB6-B2AD-211341406B65}" name="ID"/>
    <tableColumn id="2" xr3:uid="{A5D7D600-3A71-4DD1-A6A0-88B6463C987F}" name="Posicion"/>
    <tableColumn id="12" xr3:uid="{0DCF8682-7649-4A42-B056-5C7F147FE3A0}" name="IdEdicionTexto"/>
    <tableColumn id="3" xr3:uid="{473E571D-8BE9-4BD5-B8BD-FC16062FBA4A}" name="Nombre"/>
    <tableColumn id="4" xr3:uid="{BFCDC025-7291-43F4-BF51-02B5C205C0B1}" name="URLImagen"/>
    <tableColumn id="5" xr3:uid="{1AD6DCB5-B8FB-43FC-88CE-E58B0DF75376}" name="Titulo"/>
    <tableColumn id="6" xr3:uid="{782D732A-1C91-4938-BDF6-8C352984694E}" name="Descripcion" dataDxfId="7"/>
    <tableColumn id="7" xr3:uid="{37200F4F-B540-4A63-9F27-255BD55AD0BD}" name="Link"/>
    <tableColumn id="8" xr3:uid="{CB7E851F-8679-4467-A629-18DE76D9185B}" name="LinkSN"/>
    <tableColumn id="9" xr3:uid="{DF01FB7D-3582-4808-83E6-C0BF4EDCA881}" name="LanzamientoSN"/>
    <tableColumn id="10" xr3:uid="{29CA56A3-0BDD-4AEA-A3B6-65E562BFA47B}" name="PausaSN"/>
    <tableColumn id="11" xr3:uid="{D16E7FAF-93EA-4266-8EED-9856A946F54F}" name="Activo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E94E33-CBEB-416E-8BE1-18A7BBEB19B8}" name="Tabla8" displayName="Tabla8" ref="A95:N98" totalsRowShown="0">
  <autoFilter ref="A95:N98" xr:uid="{68E94E33-CBEB-416E-8BE1-18A7BBEB19B8}"/>
  <tableColumns count="14">
    <tableColumn id="1" xr3:uid="{1E8CA238-3595-4186-9A14-6CF4E7344108}" name="ID"/>
    <tableColumn id="5" xr3:uid="{7E4F1EF2-7520-4E68-B2FD-D184EC1CB1C3}" name="URLBackground"/>
    <tableColumn id="6" xr3:uid="{6C881594-A7F4-46D3-A368-B8C8A77D11C3}" name="ColorGradiente1"/>
    <tableColumn id="7" xr3:uid="{9B4B354C-8699-4AA2-9FD9-649842AE57D0}" name="ColorGradiente2"/>
    <tableColumn id="8" xr3:uid="{01CA6DE3-6CFE-4CAE-A373-396E0851DD53}" name="ColorGradiente3"/>
    <tableColumn id="9" xr3:uid="{B1E44F0D-9D59-449B-9FD7-82DF6631C1CD}" name="ColorGradiente4"/>
    <tableColumn id="11" xr3:uid="{949976C3-3839-4BA5-A7E3-099398B9F562}" name="Angulo"/>
    <tableColumn id="12" xr3:uid="{336F208F-5CA7-41FC-9D9A-CEAD6888A253}" name="ColorSolido"/>
    <tableColumn id="13" xr3:uid="{82ED43C4-B914-48D4-AD3A-1B643F79C195}" name="Opacidad"/>
    <tableColumn id="14" xr3:uid="{C74DFCB1-08F4-4D7E-93E3-D5FCA7AECBE1}" name="Blur"/>
    <tableColumn id="15" xr3:uid="{07161F10-4594-40BD-9768-AB20BAA38606}" name="Brillo"/>
    <tableColumn id="16" xr3:uid="{8A7CAB8F-C50F-4BD0-A384-77BE5DA8EC95}" name="Contraste"/>
    <tableColumn id="17" xr3:uid="{F3288458-6C0F-465C-AD4F-1638638D6820}" name="EscalaGrises"/>
    <tableColumn id="3" xr3:uid="{98D04B2A-95D5-473E-B16A-3D1B213CF0F8}" name="Activo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4C12ADD-1837-419C-BEA6-D3673F298051}" name="Tabla23" displayName="Tabla23" ref="A88:B91" totalsRowShown="0">
  <autoFilter ref="A88:B91" xr:uid="{64C12ADD-1837-419C-BEA6-D3673F298051}"/>
  <tableColumns count="2">
    <tableColumn id="1" xr3:uid="{D824E0B3-B2F8-41D9-8175-BA69AC070A74}" name="ID"/>
    <tableColumn id="2" xr3:uid="{D3CD5024-B197-422F-BABD-F76BAD4C09D5}" name="Pagina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BCDB15F-39E2-4D22-A5F3-7E0244C0226B}" name="Tabla2325" displayName="Tabla2325" ref="D88:F91" totalsRowShown="0">
  <autoFilter ref="D88:F91" xr:uid="{3BCDB15F-39E2-4D22-A5F3-7E0244C0226B}"/>
  <tableColumns count="3">
    <tableColumn id="1" xr3:uid="{2E670FCF-1D70-42EE-BF2D-43F65298CE3C}" name="ID"/>
    <tableColumn id="2" xr3:uid="{07314AF4-A0B1-4694-870D-5FF7668BF237}" name="Nombre"/>
    <tableColumn id="3" xr3:uid="{6229BA29-18D1-47DD-995E-DDF7832AEC46}" name="Activo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03B1BB5-0E4C-4377-B4E9-1203B7A1C3FB}" name="Tabla826" displayName="Tabla826" ref="A102:I105" totalsRowShown="0">
  <autoFilter ref="A102:I105" xr:uid="{603B1BB5-0E4C-4377-B4E9-1203B7A1C3FB}"/>
  <tableColumns count="9">
    <tableColumn id="1" xr3:uid="{62362053-8A80-4FF4-AB6D-40430AC5A5F4}" name="ID"/>
    <tableColumn id="5" xr3:uid="{7B2052E1-C43E-4046-BE46-97E55A7FBE0F}" name="IdTipoTexto"/>
    <tableColumn id="6" xr3:uid="{A93952EC-78FC-4DD0-B380-1E659DE63DFD}" name="IdFuente"/>
    <tableColumn id="7" xr3:uid="{BB786B7B-E29D-4A14-B248-C9584ED0A547}" name="Color"/>
    <tableColumn id="8" xr3:uid="{FFCC595A-F6A5-43DB-94E4-BD4E0394F4ED}" name="Tamaño"/>
    <tableColumn id="9" xr3:uid="{A8921874-6C7F-4FBA-936A-D4B602C93F67}" name="Mayuscula"/>
    <tableColumn id="10" xr3:uid="{AF446AA5-2F2C-4048-99E1-18C03C00DFCF}" name="Contraste"/>
    <tableColumn id="11" xr3:uid="{4DD925C6-883F-40E6-911F-7E9E42C2279C}" name="Espaciado"/>
    <tableColumn id="3" xr3:uid="{3715AA2C-BDFD-4A0F-9EEC-4D0E838CD882}" name="Activo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42635A-3ED7-432B-A4A5-0CA9F365C85C}" name="Tabla232527" displayName="Tabla232527" ref="H88:L91" totalsRowShown="0">
  <autoFilter ref="H88:L91" xr:uid="{0B42635A-3ED7-432B-A4A5-0CA9F365C85C}"/>
  <tableColumns count="5">
    <tableColumn id="1" xr3:uid="{3FA20A71-CF47-4DAB-951A-7C4FC5084311}" name="ID"/>
    <tableColumn id="2" xr3:uid="{79A7F6F7-1859-4BB3-B79B-BFF30483BAB2}" name="Nombre"/>
    <tableColumn id="5" xr3:uid="{48F19664-7170-46E7-8830-804ED59C4F30}" name="Declaracion"/>
    <tableColumn id="4" xr3:uid="{098E8492-CDA9-4DF7-B3B0-2DABDE9A52CD}" name="URLFuente"/>
    <tableColumn id="3" xr3:uid="{F7077B09-954A-4A25-96B1-3B3866C4F1D9}" name="Activo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5376336-314C-4E5C-9773-BCBED3F2A22E}" name="Tabla27" displayName="Tabla27" ref="A109:E112" totalsRowShown="0">
  <autoFilter ref="A109:E112" xr:uid="{B5376336-314C-4E5C-9773-BCBED3F2A22E}"/>
  <tableColumns count="5">
    <tableColumn id="1" xr3:uid="{5FE15933-BCF6-468F-AF7F-09630168B046}" name="ID"/>
    <tableColumn id="2" xr3:uid="{B7750034-1E27-4E92-856C-30E5F48E7B9E}" name="IdPagina"/>
    <tableColumn id="3" xr3:uid="{61419E12-5C48-471B-A94C-365D61B394C2}" name="IdBackground"/>
    <tableColumn id="4" xr3:uid="{3B4A719A-180B-4B39-9C10-B58CA3A5C88C}" name="IdEdicionTexto"/>
    <tableColumn id="5" xr3:uid="{4B5372AE-F961-4286-86FB-E03ECC3B0166}" name="Activo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5C72C39-AEF7-4120-A1E5-FF7EB5A3BF17}" name="Tabla28" displayName="Tabla28" ref="A116:N119" totalsRowShown="0">
  <autoFilter ref="A116:N119" xr:uid="{E5C72C39-AEF7-4120-A1E5-FF7EB5A3BF17}"/>
  <tableColumns count="14">
    <tableColumn id="1" xr3:uid="{68690C7C-4428-4270-97EF-F62ECCF7314E}" name="ID"/>
    <tableColumn id="2" xr3:uid="{4ED8A294-C798-4D37-9F33-B2D6E944F3F4}" name="NombreApellido"/>
    <tableColumn id="3" xr3:uid="{58ED13BD-9B17-4772-85AE-6842EAEE71E5}" name="Mail"/>
    <tableColumn id="4" xr3:uid="{94F35AE4-BB92-4E59-9201-C44956F3D992}" name="Telefono"/>
    <tableColumn id="13" xr3:uid="{588B1BEF-E305-4E5D-9852-932C56C3C6A5}" name="DNI"/>
    <tableColumn id="5" xr3:uid="{B1749734-A73F-4D73-AA3D-233EA5C9D90A}" name="Direccion"/>
    <tableColumn id="14" xr3:uid="{1A2E94D8-991E-4462-9DB5-6004571D530C}" name="Numeracion"/>
    <tableColumn id="6" xr3:uid="{34C9AECC-F209-4DEB-9823-F29D4B16D927}" name="Piso"/>
    <tableColumn id="7" xr3:uid="{C0537B94-D9CA-4EAF-B400-6B36DD29ACEF}" name="DtoLote"/>
    <tableColumn id="8" xr3:uid="{3361C285-84BA-43DF-9B87-BBEA471C74DB}" name="Localidad"/>
    <tableColumn id="12" xr3:uid="{59C5B181-C2BD-45D3-80AB-DC7BD018DB07}" name="NombreBarrio"/>
    <tableColumn id="9" xr3:uid="{31F8994E-756A-43E8-ADCF-36CDB3FECA27}" name="IdProvincia"/>
    <tableColumn id="10" xr3:uid="{41A026C6-9E4F-4D56-911F-854C5718C114}" name="CodigoPostal "/>
    <tableColumn id="11" xr3:uid="{F8363EAB-1F66-4EC1-BD18-A407969A23F0}" name="Activo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DA5C3FF-DEDA-4FD9-B41A-F3E2538CE824}" name="Tabla29" displayName="Tabla29" ref="A123:F126" totalsRowShown="0">
  <autoFilter ref="A123:F126" xr:uid="{1DA5C3FF-DEDA-4FD9-B41A-F3E2538CE824}"/>
  <tableColumns count="6">
    <tableColumn id="1" xr3:uid="{26411AE4-B531-46EC-A743-601E7189E434}" name="ID"/>
    <tableColumn id="2" xr3:uid="{2448A646-7614-46EE-BE66-4A39153E5F8A}" name="IdDistribuidor"/>
    <tableColumn id="3" xr3:uid="{57960469-7CA4-4F5E-823C-0725B5B59DA9}" name="FechaCompra"/>
    <tableColumn id="4" xr3:uid="{B4511E1E-8880-4F6B-AB2B-5BE00AA0F941}" name="Factura"/>
    <tableColumn id="5" xr3:uid="{BA1A06F9-6164-4B4F-BDD1-319BC1E813A6}" name="IdProducto"/>
    <tableColumn id="6" xr3:uid="{3C17DB6E-6062-4A4B-975F-FA7E04D0DE6E}" name="Activo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D86DA2A-25F1-4521-B911-4F2F84141754}" name="Tabla1131" displayName="Tabla1131" ref="I27:K30" totalsRowShown="0">
  <autoFilter ref="I27:K30" xr:uid="{ED86DA2A-25F1-4521-B911-4F2F84141754}"/>
  <tableColumns count="3">
    <tableColumn id="1" xr3:uid="{BD27862E-B69D-4739-9293-7780E7F50540}" name="ID"/>
    <tableColumn id="2" xr3:uid="{2CC93747-5739-472E-B45A-2A8C386A4698}" name="Tipo"/>
    <tableColumn id="3" xr3:uid="{84D5CE0D-14AB-455F-87C5-2FEDB678E99D}" name="Activo"/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E2D4759-525A-4BF6-8B43-742296BA770E}" name="Tabla2832" displayName="Tabla2832" ref="A130:AA133" totalsRowShown="0">
  <autoFilter ref="A130:AA133" xr:uid="{8E2D4759-525A-4BF6-8B43-742296BA770E}"/>
  <tableColumns count="27">
    <tableColumn id="1" xr3:uid="{0E1797A3-50DB-4C00-8C7D-4E3C78B420E8}" name="ID"/>
    <tableColumn id="2" xr3:uid="{89511843-4E67-4DCC-9385-A72CA58CD9DF}" name="IdCliente"/>
    <tableColumn id="3" xr3:uid="{AC688752-919C-4DEB-88C2-DF2E8EF3BD63}" name="IdFormaContacto"/>
    <tableColumn id="4" xr3:uid="{7D3ED9E7-75FB-4DF7-91B5-E392871B8D43}" name="Fecha1erContacto"/>
    <tableColumn id="13" xr3:uid="{9EA8476D-DBBE-471F-BFC8-6A291BA80F62}" name="Fecha1eraRespuesta" dataDxfId="6"/>
    <tableColumn id="5" xr3:uid="{DBAD1119-0F40-4BD3-9842-1192A64CBD53}" name="FechaCierre"/>
    <tableColumn id="14" xr3:uid="{E39840EE-9AE9-4080-8CE2-7FB8A7484DCE}" name="IdMotivoContacto"/>
    <tableColumn id="6" xr3:uid="{3E40D0DD-319F-4EE0-B63A-0C3A0E154C0B}" name="IdCodigoReclamo"/>
    <tableColumn id="7" xr3:uid="{4B7DE31B-73B8-4D00-834D-2635643BB279}" name="IdEstadoReclamo"/>
    <tableColumn id="8" xr3:uid="{FE3B8DB4-2255-4BFC-9B37-C7BFF06B57C5}" name="Consulta" dataDxfId="5"/>
    <tableColumn id="12" xr3:uid="{55F91CC0-9D26-4D31-B57A-EA6D64ADC6F2}" name="Solucion" dataDxfId="4"/>
    <tableColumn id="9" xr3:uid="{617CB8EC-F821-47DB-8753-32FB1A107F1A}" name="IdDatosCompra"/>
    <tableColumn id="10" xr3:uid="{6329DF96-E0FA-4B62-9E86-F32620647183}" name="FechaOT"/>
    <tableColumn id="19" xr3:uid="{8C8B6D30-6532-40D3-AE91-9F85D048000E}" name="NumeroOT"/>
    <tableColumn id="18" xr3:uid="{E9C1402D-DB4C-4575-821C-E3BCE8BFF92F}" name="Repuesto"/>
    <tableColumn id="17" xr3:uid="{B0292754-890C-4528-9A8A-5828F4F9B90D}" name="Cantidad"/>
    <tableColumn id="16" xr3:uid="{A6778FEE-2262-4CBF-838B-02B13127B068}" name="IdTipoRespuesto"/>
    <tableColumn id="15" xr3:uid="{80B09B0D-614F-4682-AC48-16932A68FBE7}" name="IdModoSolucion"/>
    <tableColumn id="26" xr3:uid="{D0CFCB6C-85C3-4203-BC88-B5B44D980875}" name="Observaciones"/>
    <tableColumn id="25" xr3:uid="{F4BFD720-8E3F-426D-ADA4-7C9F90A4899F}" name="NumTiendanube"/>
    <tableColumn id="24" xr3:uid="{6B3FFA65-2F68-49EB-B888-BBCC703D4A24}" name="NumOperacionML"/>
    <tableColumn id="23" xr3:uid="{3FC47E06-C907-48AC-88A2-78A5DD774483}" name="FechaCompraTNyML"/>
    <tableColumn id="22" xr3:uid="{66F4482D-A8A4-4473-BB5A-295CD474AC99}" name="MontoCompra"/>
    <tableColumn id="21" xr3:uid="{542D0822-2C0C-4D15-9CF7-69786B2FAC9E}" name="NumFacturaRepuesto"/>
    <tableColumn id="27" xr3:uid="{2042778B-F258-4301-ACB2-373EBA165DDE}" name="NumGuiaCorreo"/>
    <tableColumn id="20" xr3:uid="{32B933EB-3FCC-4023-AEE3-097C0D15D848}" name="IdRegistro"/>
    <tableColumn id="11" xr3:uid="{2D22868C-E2A5-4CBF-AB5B-372B1B35B2F1}" name="Activo"/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120E102-167B-4968-9C4B-27E2DB027BCB}" name="Tabla32" displayName="Tabla32" ref="H123:J126" totalsRowShown="0">
  <autoFilter ref="H123:J126" xr:uid="{3120E102-167B-4968-9C4B-27E2DB027BCB}"/>
  <tableColumns count="3">
    <tableColumn id="1" xr3:uid="{EE3C83CC-21D0-401F-ACA8-188E9E4192B7}" name="ID"/>
    <tableColumn id="2" xr3:uid="{BFFDAC8F-7B87-4E2F-AD42-AC3AF42581A7}" name="Estado"/>
    <tableColumn id="3" xr3:uid="{20032F58-F88C-40E9-AFEF-F03D88271F9B}" name="Activo"/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4A657EC-FBEA-404C-97B4-37560A8B1A66}" name="Tabla3234" displayName="Tabla3234" ref="L123:N126" totalsRowShown="0">
  <autoFilter ref="L123:N126" xr:uid="{34A657EC-FBEA-404C-97B4-37560A8B1A66}"/>
  <tableColumns count="3">
    <tableColumn id="1" xr3:uid="{658D1EAF-2C94-4837-B563-9F06CC1CA9EF}" name="ID"/>
    <tableColumn id="2" xr3:uid="{318D820E-B0F1-494E-9ACD-56B42577BACD}" name="ModoSolucion"/>
    <tableColumn id="3" xr3:uid="{360683CD-7223-43C9-A749-F1ABB92CECD3}" name="Activo"/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42E2A91-D18B-46C4-92DD-70DB8D684714}" name="Tabla3235" displayName="Tabla3235" ref="A137:C140" totalsRowShown="0">
  <autoFilter ref="A137:C140" xr:uid="{C42E2A91-D18B-46C4-92DD-70DB8D684714}"/>
  <tableColumns count="3">
    <tableColumn id="1" xr3:uid="{88C1E49B-9084-43B7-8C97-74BDA0019AE3}" name="ID"/>
    <tableColumn id="2" xr3:uid="{2970C4AF-BB3E-4C97-8BFF-23A5D49FA124}" name="TipoRepuesto"/>
    <tableColumn id="3" xr3:uid="{F3C9A899-9552-4048-9F28-4D78497C0EAC}" name="Activo"/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AE76666-B21F-4F04-9BC2-2C21A3B9D534}" name="Tabla323536" displayName="Tabla323536" ref="E137:G140" totalsRowShown="0">
  <autoFilter ref="E137:G140" xr:uid="{2AE76666-B21F-4F04-9BC2-2C21A3B9D534}"/>
  <tableColumns count="3">
    <tableColumn id="1" xr3:uid="{9344C3CF-9F17-4477-B852-2D61C58EE5B7}" name="ID"/>
    <tableColumn id="2" xr3:uid="{4FB40FD6-2D91-42DF-AC2E-AE94EEFD7AA1}" name="FormaContacto"/>
    <tableColumn id="3" xr3:uid="{B40604D0-C82E-4B19-8045-D75B1EF483DB}" name="Activo"/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957B04B-4005-4CCC-9E90-A3E625FA5D35}" name="Tabla32353637" displayName="Tabla32353637" ref="I137:L140" totalsRowShown="0">
  <autoFilter ref="I137:L140" xr:uid="{F957B04B-4005-4CCC-9E90-A3E625FA5D35}"/>
  <tableColumns count="4">
    <tableColumn id="1" xr3:uid="{CA64DBE0-508E-4B80-AC77-B1B1E7C15BDC}" name="ID"/>
    <tableColumn id="2" xr3:uid="{112228D4-9880-4A08-B8FC-D853213893FD}" name="CodigoMotivo"/>
    <tableColumn id="4" xr3:uid="{83C3478C-1D40-4D25-A416-65C24BEC74A0}" name="MotivoContacto"/>
    <tableColumn id="3" xr3:uid="{499D04F2-F038-4388-8B00-5454D94F0C5A}" name="Activo"/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DA8E030-FF4B-4EFC-90D1-9EA6BEF24240}" name="Tabla3235363738" displayName="Tabla3235363738" ref="N137:R140" totalsRowShown="0">
  <autoFilter ref="N137:R140" xr:uid="{FDA8E030-FF4B-4EFC-90D1-9EA6BEF24240}"/>
  <tableColumns count="5">
    <tableColumn id="1" xr3:uid="{5560DF7C-FEE5-456B-92EA-203150657B26}" name="ID"/>
    <tableColumn id="2" xr3:uid="{1F149BD5-C727-437F-8393-C5987FBE588D}" name="CodigoMotivo"/>
    <tableColumn id="4" xr3:uid="{8CFC6924-9C12-4FBB-9472-05F51F199A0A}" name="Fecha" dataDxfId="3"/>
    <tableColumn id="9" xr3:uid="{47C9DE2B-FED3-499A-92E4-96789BCD9F70}" name="Registro" dataDxfId="2"/>
    <tableColumn id="3" xr3:uid="{03ADB1E3-143F-49CF-A27C-B2C1272966DD}" name="Activ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Relationship Id="rId2" Type="http://schemas.openxmlformats.org/officeDocument/2006/relationships/vmlDrawing" Target="../drawings/vmlDrawing1.v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comments" Target="../comments1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0C1D-1850-4BF9-ABCF-FA1A23EC1542}">
  <dimension ref="A1:AA140"/>
  <sheetViews>
    <sheetView tabSelected="1" topLeftCell="A72" zoomScale="79" zoomScaleNormal="79" workbookViewId="0">
      <selection activeCell="F47" sqref="F47:M51"/>
    </sheetView>
  </sheetViews>
  <sheetFormatPr baseColWidth="10" defaultRowHeight="14.4" x14ac:dyDescent="0.3"/>
  <cols>
    <col min="1" max="1" width="5.77734375" bestFit="1" customWidth="1"/>
    <col min="2" max="2" width="24" bestFit="1" customWidth="1"/>
    <col min="3" max="3" width="19.21875" bestFit="1" customWidth="1"/>
    <col min="4" max="4" width="28.77734375" bestFit="1" customWidth="1"/>
    <col min="5" max="5" width="24.88671875" bestFit="1" customWidth="1"/>
    <col min="6" max="6" width="18.6640625" bestFit="1" customWidth="1"/>
    <col min="7" max="7" width="24.88671875" bestFit="1" customWidth="1"/>
    <col min="8" max="8" width="19.6640625" bestFit="1" customWidth="1"/>
    <col min="9" max="9" width="19.33203125" bestFit="1" customWidth="1"/>
    <col min="10" max="10" width="31.44140625" customWidth="1"/>
    <col min="11" max="11" width="24.88671875" bestFit="1" customWidth="1"/>
    <col min="12" max="12" width="17.6640625" bestFit="1" customWidth="1"/>
    <col min="13" max="13" width="18" bestFit="1" customWidth="1"/>
    <col min="14" max="14" width="18.109375" bestFit="1" customWidth="1"/>
    <col min="15" max="15" width="16.109375" bestFit="1" customWidth="1"/>
    <col min="16" max="16" width="11.77734375" bestFit="1" customWidth="1"/>
    <col min="17" max="17" width="24.88671875" bestFit="1" customWidth="1"/>
    <col min="18" max="18" width="18.109375" bestFit="1" customWidth="1"/>
    <col min="19" max="19" width="17" bestFit="1" customWidth="1"/>
    <col min="20" max="20" width="18.44140625" bestFit="1" customWidth="1"/>
    <col min="21" max="21" width="19.77734375" bestFit="1" customWidth="1"/>
    <col min="22" max="22" width="22" bestFit="1" customWidth="1"/>
    <col min="23" max="23" width="16.44140625" bestFit="1" customWidth="1"/>
    <col min="24" max="24" width="23.21875" bestFit="1" customWidth="1"/>
    <col min="25" max="25" width="18.21875" bestFit="1" customWidth="1"/>
    <col min="26" max="26" width="12.88671875" bestFit="1" customWidth="1"/>
    <col min="27" max="27" width="11.33203125" bestFit="1" customWidth="1"/>
  </cols>
  <sheetData>
    <row r="1" spans="1:16" x14ac:dyDescent="0.3">
      <c r="B1" s="11" t="s">
        <v>105</v>
      </c>
      <c r="C1" s="10" t="s">
        <v>106</v>
      </c>
      <c r="D1" s="12" t="s">
        <v>107</v>
      </c>
    </row>
    <row r="4" spans="1:16" ht="15" thickBot="1" x14ac:dyDescent="0.35"/>
    <row r="5" spans="1:16" x14ac:dyDescent="0.3">
      <c r="A5" s="20" t="s">
        <v>36</v>
      </c>
      <c r="B5" s="21"/>
      <c r="C5" s="21"/>
      <c r="D5" s="21"/>
      <c r="E5" s="21"/>
      <c r="F5" s="21"/>
      <c r="G5" s="22"/>
      <c r="I5" s="20" t="s">
        <v>47</v>
      </c>
      <c r="J5" s="21"/>
      <c r="K5" s="22"/>
    </row>
    <row r="6" spans="1:16" x14ac:dyDescent="0.3">
      <c r="A6" s="1" t="s">
        <v>1</v>
      </c>
      <c r="B6" t="s">
        <v>37</v>
      </c>
      <c r="C6" t="s">
        <v>38</v>
      </c>
      <c r="D6" t="s">
        <v>39</v>
      </c>
      <c r="E6" t="s">
        <v>46</v>
      </c>
      <c r="F6" t="s">
        <v>47</v>
      </c>
      <c r="G6" s="2" t="s">
        <v>3</v>
      </c>
      <c r="I6" s="1" t="s">
        <v>1</v>
      </c>
      <c r="J6" t="s">
        <v>51</v>
      </c>
      <c r="K6" s="2" t="s">
        <v>3</v>
      </c>
    </row>
    <row r="7" spans="1:16" x14ac:dyDescent="0.3">
      <c r="A7" s="1">
        <v>1</v>
      </c>
      <c r="B7" s="6" t="s">
        <v>40</v>
      </c>
      <c r="C7" t="s">
        <v>41</v>
      </c>
      <c r="D7" t="str">
        <f>CONCATENATE(Tabla15[[#This Row],[Nombre]],Tabla15[[#This Row],[Apellido]],"@andez.com.ar")</f>
        <v>FernandoClingo@andez.com.ar</v>
      </c>
      <c r="E7" t="s">
        <v>52</v>
      </c>
      <c r="F7">
        <v>1</v>
      </c>
      <c r="G7" s="2" t="b">
        <v>1</v>
      </c>
      <c r="I7" s="1">
        <v>1</v>
      </c>
      <c r="J7" t="s">
        <v>48</v>
      </c>
      <c r="K7" s="2" t="b">
        <v>1</v>
      </c>
    </row>
    <row r="8" spans="1:16" x14ac:dyDescent="0.3">
      <c r="A8" s="1">
        <v>2</v>
      </c>
      <c r="B8" s="6" t="s">
        <v>42</v>
      </c>
      <c r="C8" t="s">
        <v>43</v>
      </c>
      <c r="D8" t="str">
        <f>CONCATENATE(Tabla15[[#This Row],[Nombre]],Tabla15[[#This Row],[Apellido]],"@andez.com.ar")</f>
        <v>LucasAdler@andez.com.ar</v>
      </c>
      <c r="E8" t="s">
        <v>53</v>
      </c>
      <c r="F8">
        <v>2</v>
      </c>
      <c r="G8" s="2" t="b">
        <v>1</v>
      </c>
      <c r="I8" s="1">
        <v>2</v>
      </c>
      <c r="J8" t="s">
        <v>49</v>
      </c>
      <c r="K8" s="2" t="b">
        <v>1</v>
      </c>
    </row>
    <row r="9" spans="1:16" ht="15" thickBot="1" x14ac:dyDescent="0.35">
      <c r="A9" s="3">
        <v>3</v>
      </c>
      <c r="B9" s="7" t="s">
        <v>44</v>
      </c>
      <c r="C9" s="4" t="s">
        <v>45</v>
      </c>
      <c r="D9" s="4" t="str">
        <f>CONCATENATE(Tabla15[[#This Row],[Nombre]],Tabla15[[#This Row],[Apellido]],"@andez.com.ar")</f>
        <v>AnaliaPetroco@andez.com.ar</v>
      </c>
      <c r="E9" s="4" t="s">
        <v>54</v>
      </c>
      <c r="F9" s="4">
        <v>3</v>
      </c>
      <c r="G9" s="5" t="b">
        <v>1</v>
      </c>
      <c r="I9" s="3">
        <v>3</v>
      </c>
      <c r="J9" s="4" t="s">
        <v>50</v>
      </c>
      <c r="K9" s="5" t="b">
        <v>1</v>
      </c>
    </row>
    <row r="11" spans="1:16" ht="15" thickBot="1" x14ac:dyDescent="0.35"/>
    <row r="12" spans="1:16" x14ac:dyDescent="0.3">
      <c r="A12" s="17" t="s">
        <v>0</v>
      </c>
      <c r="B12" s="18"/>
      <c r="C12" s="18"/>
      <c r="D12" s="18"/>
      <c r="E12" s="19"/>
      <c r="G12" s="17" t="s">
        <v>7</v>
      </c>
      <c r="H12" s="18"/>
      <c r="I12" s="18"/>
      <c r="J12" s="18"/>
      <c r="K12" s="19"/>
      <c r="M12" s="17" t="s">
        <v>12</v>
      </c>
      <c r="N12" s="18"/>
      <c r="O12" s="18"/>
      <c r="P12" s="19"/>
    </row>
    <row r="13" spans="1:16" x14ac:dyDescent="0.3">
      <c r="A13" s="1" t="s">
        <v>1</v>
      </c>
      <c r="B13" t="s">
        <v>24</v>
      </c>
      <c r="C13" t="s">
        <v>2</v>
      </c>
      <c r="D13" t="s">
        <v>10</v>
      </c>
      <c r="E13" s="2" t="s">
        <v>3</v>
      </c>
      <c r="G13" s="1" t="s">
        <v>1</v>
      </c>
      <c r="H13" t="s">
        <v>9</v>
      </c>
      <c r="I13" t="s">
        <v>8</v>
      </c>
      <c r="J13" t="s">
        <v>57</v>
      </c>
      <c r="K13" s="2" t="s">
        <v>3</v>
      </c>
      <c r="M13" s="1" t="s">
        <v>1</v>
      </c>
      <c r="N13" t="s">
        <v>14</v>
      </c>
      <c r="O13" t="s">
        <v>13</v>
      </c>
      <c r="P13" s="2" t="s">
        <v>3</v>
      </c>
    </row>
    <row r="14" spans="1:16" x14ac:dyDescent="0.3">
      <c r="A14" s="1">
        <v>1</v>
      </c>
      <c r="B14" s="6" t="s">
        <v>25</v>
      </c>
      <c r="C14" t="s">
        <v>4</v>
      </c>
      <c r="D14" t="s">
        <v>11</v>
      </c>
      <c r="E14" s="2" t="b">
        <v>1</v>
      </c>
      <c r="G14" s="1">
        <v>1</v>
      </c>
      <c r="H14">
        <v>19</v>
      </c>
      <c r="I14" t="s">
        <v>110</v>
      </c>
      <c r="J14" t="s">
        <v>58</v>
      </c>
      <c r="K14" s="2" t="b">
        <v>1</v>
      </c>
      <c r="M14" s="1">
        <v>1</v>
      </c>
      <c r="N14" t="s">
        <v>15</v>
      </c>
      <c r="O14" t="s">
        <v>11</v>
      </c>
      <c r="P14" s="2" t="b">
        <v>1</v>
      </c>
    </row>
    <row r="15" spans="1:16" x14ac:dyDescent="0.3">
      <c r="A15" s="1">
        <v>2</v>
      </c>
      <c r="B15" s="6" t="s">
        <v>26</v>
      </c>
      <c r="C15" t="s">
        <v>5</v>
      </c>
      <c r="D15" t="s">
        <v>11</v>
      </c>
      <c r="E15" s="2" t="b">
        <v>1</v>
      </c>
      <c r="G15" s="1">
        <v>2</v>
      </c>
      <c r="H15">
        <v>22</v>
      </c>
      <c r="I15" t="s">
        <v>111</v>
      </c>
      <c r="J15" t="s">
        <v>58</v>
      </c>
      <c r="K15" s="2" t="b">
        <v>1</v>
      </c>
      <c r="M15" s="1">
        <v>2</v>
      </c>
      <c r="N15" t="s">
        <v>16</v>
      </c>
      <c r="O15" t="s">
        <v>11</v>
      </c>
      <c r="P15" s="2" t="b">
        <v>1</v>
      </c>
    </row>
    <row r="16" spans="1:16" ht="15" thickBot="1" x14ac:dyDescent="0.35">
      <c r="A16" s="3">
        <v>3</v>
      </c>
      <c r="B16" s="7" t="s">
        <v>27</v>
      </c>
      <c r="C16" s="4" t="s">
        <v>6</v>
      </c>
      <c r="D16" s="4" t="s">
        <v>11</v>
      </c>
      <c r="E16" s="5" t="b">
        <v>1</v>
      </c>
      <c r="G16" s="3">
        <v>3</v>
      </c>
      <c r="H16" s="4">
        <v>20</v>
      </c>
      <c r="I16" s="4" t="s">
        <v>112</v>
      </c>
      <c r="J16" s="4" t="s">
        <v>58</v>
      </c>
      <c r="K16" s="5" t="b">
        <v>0</v>
      </c>
      <c r="M16" s="3">
        <v>3</v>
      </c>
      <c r="N16" s="4" t="s">
        <v>17</v>
      </c>
      <c r="O16" s="4" t="s">
        <v>11</v>
      </c>
      <c r="P16" s="5" t="b">
        <v>1</v>
      </c>
    </row>
    <row r="18" spans="1:16" ht="15" thickBot="1" x14ac:dyDescent="0.35"/>
    <row r="19" spans="1:16" x14ac:dyDescent="0.3">
      <c r="A19" s="17" t="s">
        <v>18</v>
      </c>
      <c r="B19" s="18"/>
      <c r="C19" s="18"/>
      <c r="D19" s="19"/>
      <c r="F19" s="17" t="s">
        <v>109</v>
      </c>
      <c r="G19" s="18"/>
      <c r="H19" s="18"/>
      <c r="I19" s="18"/>
      <c r="J19" s="18"/>
      <c r="K19" s="18"/>
      <c r="L19" s="19"/>
    </row>
    <row r="20" spans="1:16" x14ac:dyDescent="0.3">
      <c r="A20" s="1" t="s">
        <v>1</v>
      </c>
      <c r="B20" t="s">
        <v>19</v>
      </c>
      <c r="C20" t="s">
        <v>20</v>
      </c>
      <c r="D20" s="2" t="s">
        <v>3</v>
      </c>
      <c r="F20" s="1" t="s">
        <v>1</v>
      </c>
      <c r="G20" t="s">
        <v>28</v>
      </c>
      <c r="H20" t="s">
        <v>29</v>
      </c>
      <c r="I20" t="s">
        <v>30</v>
      </c>
      <c r="J20" t="s">
        <v>31</v>
      </c>
      <c r="K20" t="s">
        <v>108</v>
      </c>
      <c r="L20" s="2" t="s">
        <v>3</v>
      </c>
    </row>
    <row r="21" spans="1:16" x14ac:dyDescent="0.3">
      <c r="A21" s="1">
        <v>1</v>
      </c>
      <c r="B21">
        <v>500</v>
      </c>
      <c r="C21" t="s">
        <v>23</v>
      </c>
      <c r="D21" s="2" t="b">
        <v>1</v>
      </c>
      <c r="F21" s="1">
        <v>1</v>
      </c>
      <c r="G21">
        <v>1</v>
      </c>
      <c r="H21">
        <v>1</v>
      </c>
      <c r="I21" t="s">
        <v>11</v>
      </c>
      <c r="J21" t="s">
        <v>11</v>
      </c>
      <c r="K21" t="s">
        <v>11</v>
      </c>
      <c r="L21" s="8" t="b">
        <v>1</v>
      </c>
    </row>
    <row r="22" spans="1:16" x14ac:dyDescent="0.3">
      <c r="A22" s="1">
        <v>2</v>
      </c>
      <c r="B22">
        <v>700</v>
      </c>
      <c r="C22" t="s">
        <v>21</v>
      </c>
      <c r="D22" s="2" t="b">
        <v>1</v>
      </c>
      <c r="F22" s="1">
        <v>2</v>
      </c>
      <c r="G22">
        <v>1</v>
      </c>
      <c r="H22">
        <v>2</v>
      </c>
      <c r="I22" t="s">
        <v>11</v>
      </c>
      <c r="J22" t="s">
        <v>11</v>
      </c>
      <c r="K22" t="s">
        <v>11</v>
      </c>
      <c r="L22" s="2" t="b">
        <v>1</v>
      </c>
    </row>
    <row r="23" spans="1:16" ht="15" thickBot="1" x14ac:dyDescent="0.35">
      <c r="A23" s="3">
        <v>3</v>
      </c>
      <c r="B23" s="4">
        <v>800</v>
      </c>
      <c r="C23" s="4" t="s">
        <v>22</v>
      </c>
      <c r="D23" s="5" t="b">
        <v>0</v>
      </c>
      <c r="F23" s="3">
        <v>3</v>
      </c>
      <c r="G23" s="4">
        <v>1</v>
      </c>
      <c r="H23" s="4">
        <v>3</v>
      </c>
      <c r="I23" s="4" t="s">
        <v>11</v>
      </c>
      <c r="J23" s="4" t="s">
        <v>11</v>
      </c>
      <c r="K23" s="4" t="s">
        <v>11</v>
      </c>
      <c r="L23" s="9" t="b">
        <v>1</v>
      </c>
    </row>
    <row r="25" spans="1:16" ht="15" thickBot="1" x14ac:dyDescent="0.35"/>
    <row r="26" spans="1:16" x14ac:dyDescent="0.3">
      <c r="A26" s="17" t="s">
        <v>34</v>
      </c>
      <c r="B26" s="18"/>
      <c r="C26" s="18"/>
      <c r="D26" s="18"/>
      <c r="E26" s="18"/>
      <c r="F26" s="18"/>
      <c r="G26" s="19"/>
      <c r="I26" s="17" t="s">
        <v>59</v>
      </c>
      <c r="J26" s="18"/>
      <c r="K26" s="19"/>
      <c r="M26" s="17" t="s">
        <v>222</v>
      </c>
      <c r="N26" s="18"/>
      <c r="O26" s="18"/>
      <c r="P26" s="19"/>
    </row>
    <row r="27" spans="1:16" x14ac:dyDescent="0.3">
      <c r="A27" s="1" t="s">
        <v>1</v>
      </c>
      <c r="B27" t="s">
        <v>32</v>
      </c>
      <c r="C27" t="s">
        <v>64</v>
      </c>
      <c r="D27" t="s">
        <v>66</v>
      </c>
      <c r="E27" t="s">
        <v>133</v>
      </c>
      <c r="F27" t="s">
        <v>35</v>
      </c>
      <c r="G27" s="2" t="s">
        <v>3</v>
      </c>
      <c r="I27" s="1" t="s">
        <v>1</v>
      </c>
      <c r="J27" t="s">
        <v>60</v>
      </c>
      <c r="K27" s="2" t="s">
        <v>3</v>
      </c>
      <c r="M27" s="1" t="s">
        <v>1</v>
      </c>
      <c r="N27" t="s">
        <v>60</v>
      </c>
      <c r="O27" t="s">
        <v>221</v>
      </c>
      <c r="P27" s="2" t="s">
        <v>3</v>
      </c>
    </row>
    <row r="28" spans="1:16" x14ac:dyDescent="0.3">
      <c r="A28" s="1">
        <v>1</v>
      </c>
      <c r="B28">
        <v>1</v>
      </c>
      <c r="C28">
        <v>1</v>
      </c>
      <c r="D28" t="s">
        <v>11</v>
      </c>
      <c r="E28" t="s">
        <v>58</v>
      </c>
      <c r="F28" t="s">
        <v>11</v>
      </c>
      <c r="G28" s="2" t="b">
        <v>1</v>
      </c>
      <c r="I28" s="1">
        <v>1</v>
      </c>
      <c r="J28" t="s">
        <v>223</v>
      </c>
      <c r="K28" s="2" t="b">
        <v>1</v>
      </c>
      <c r="M28" s="1">
        <v>1</v>
      </c>
      <c r="N28">
        <v>1</v>
      </c>
      <c r="O28" t="s">
        <v>61</v>
      </c>
      <c r="P28" s="2" t="b">
        <v>1</v>
      </c>
    </row>
    <row r="29" spans="1:16" x14ac:dyDescent="0.3">
      <c r="A29" s="1">
        <v>2</v>
      </c>
      <c r="B29">
        <v>1</v>
      </c>
      <c r="C29">
        <v>3</v>
      </c>
      <c r="D29" t="s">
        <v>11</v>
      </c>
      <c r="E29" t="s">
        <v>58</v>
      </c>
      <c r="F29" t="s">
        <v>11</v>
      </c>
      <c r="G29" s="2" t="b">
        <v>1</v>
      </c>
      <c r="I29" s="1">
        <v>2</v>
      </c>
      <c r="J29" t="s">
        <v>224</v>
      </c>
      <c r="K29" s="2" t="b">
        <v>1</v>
      </c>
      <c r="M29" s="1">
        <v>2</v>
      </c>
      <c r="N29">
        <v>1</v>
      </c>
      <c r="O29" t="s">
        <v>62</v>
      </c>
      <c r="P29" s="2" t="b">
        <v>1</v>
      </c>
    </row>
    <row r="30" spans="1:16" ht="15" thickBot="1" x14ac:dyDescent="0.35">
      <c r="A30" s="3">
        <v>3</v>
      </c>
      <c r="B30" s="4">
        <v>2</v>
      </c>
      <c r="C30" s="4">
        <v>1</v>
      </c>
      <c r="D30" s="4" t="s">
        <v>11</v>
      </c>
      <c r="E30" s="4" t="s">
        <v>58</v>
      </c>
      <c r="F30" s="4" t="s">
        <v>11</v>
      </c>
      <c r="G30" s="5" t="b">
        <v>1</v>
      </c>
      <c r="I30" s="3">
        <v>3</v>
      </c>
      <c r="J30" s="4" t="s">
        <v>63</v>
      </c>
      <c r="K30" s="5" t="b">
        <v>1</v>
      </c>
      <c r="M30" s="3">
        <v>3</v>
      </c>
      <c r="N30" s="4">
        <v>3</v>
      </c>
      <c r="O30" s="4" t="s">
        <v>63</v>
      </c>
      <c r="P30" s="5" t="b">
        <v>1</v>
      </c>
    </row>
    <row r="32" spans="1:16" ht="15" thickBot="1" x14ac:dyDescent="0.35"/>
    <row r="33" spans="1:14" x14ac:dyDescent="0.3">
      <c r="A33" s="17" t="s">
        <v>55</v>
      </c>
      <c r="B33" s="18"/>
      <c r="C33" s="18"/>
      <c r="D33" s="18"/>
      <c r="E33" s="18"/>
      <c r="F33" s="18"/>
      <c r="G33" s="18"/>
      <c r="H33" s="18"/>
      <c r="I33" s="19"/>
      <c r="K33" s="17" t="s">
        <v>134</v>
      </c>
      <c r="L33" s="18"/>
      <c r="M33" s="18"/>
      <c r="N33" s="19"/>
    </row>
    <row r="34" spans="1:14" x14ac:dyDescent="0.3">
      <c r="A34" s="1" t="s">
        <v>1</v>
      </c>
      <c r="B34" t="s">
        <v>32</v>
      </c>
      <c r="C34" t="s">
        <v>33</v>
      </c>
      <c r="D34" t="s">
        <v>57</v>
      </c>
      <c r="E34" t="s">
        <v>56</v>
      </c>
      <c r="F34" t="s">
        <v>64</v>
      </c>
      <c r="G34" t="s">
        <v>65</v>
      </c>
      <c r="H34" t="s">
        <v>115</v>
      </c>
      <c r="I34" s="2" t="s">
        <v>3</v>
      </c>
      <c r="K34" s="1" t="s">
        <v>1</v>
      </c>
      <c r="L34" t="s">
        <v>113</v>
      </c>
      <c r="M34" t="s">
        <v>114</v>
      </c>
      <c r="N34" s="2" t="s">
        <v>3</v>
      </c>
    </row>
    <row r="35" spans="1:14" x14ac:dyDescent="0.3">
      <c r="A35" s="1">
        <v>1</v>
      </c>
      <c r="B35">
        <v>1</v>
      </c>
      <c r="C35">
        <v>1</v>
      </c>
      <c r="D35" t="s">
        <v>58</v>
      </c>
      <c r="E35">
        <v>1</v>
      </c>
      <c r="F35">
        <v>1</v>
      </c>
      <c r="G35" t="s">
        <v>11</v>
      </c>
      <c r="H35" t="b">
        <v>1</v>
      </c>
      <c r="I35" s="2" t="b">
        <v>1</v>
      </c>
      <c r="K35" s="1">
        <v>1</v>
      </c>
      <c r="L35">
        <v>1</v>
      </c>
      <c r="M35">
        <v>1</v>
      </c>
      <c r="N35" s="2" t="b">
        <v>1</v>
      </c>
    </row>
    <row r="36" spans="1:14" x14ac:dyDescent="0.3">
      <c r="A36" s="1">
        <v>2</v>
      </c>
      <c r="B36">
        <v>1</v>
      </c>
      <c r="C36">
        <v>2</v>
      </c>
      <c r="D36" t="s">
        <v>58</v>
      </c>
      <c r="E36">
        <v>1</v>
      </c>
      <c r="F36">
        <v>1</v>
      </c>
      <c r="G36" t="s">
        <v>11</v>
      </c>
      <c r="H36" t="b">
        <v>0</v>
      </c>
      <c r="I36" s="2" t="b">
        <v>1</v>
      </c>
      <c r="K36" s="1">
        <v>2</v>
      </c>
      <c r="L36">
        <v>1</v>
      </c>
      <c r="M36">
        <v>2</v>
      </c>
      <c r="N36" s="2" t="b">
        <v>1</v>
      </c>
    </row>
    <row r="37" spans="1:14" ht="15" thickBot="1" x14ac:dyDescent="0.35">
      <c r="A37" s="3">
        <v>3</v>
      </c>
      <c r="B37" s="4">
        <v>1</v>
      </c>
      <c r="C37" s="4">
        <v>3</v>
      </c>
      <c r="D37" s="4" t="s">
        <v>58</v>
      </c>
      <c r="E37" s="4">
        <v>1</v>
      </c>
      <c r="F37" s="4">
        <v>1</v>
      </c>
      <c r="G37" s="4" t="s">
        <v>11</v>
      </c>
      <c r="H37" s="4" t="b">
        <v>0</v>
      </c>
      <c r="I37" s="5" t="b">
        <v>1</v>
      </c>
      <c r="K37" s="3">
        <v>3</v>
      </c>
      <c r="L37" s="4">
        <v>2</v>
      </c>
      <c r="M37" s="4">
        <v>2</v>
      </c>
      <c r="N37" s="5" t="b">
        <v>1</v>
      </c>
    </row>
    <row r="39" spans="1:14" ht="15" thickBot="1" x14ac:dyDescent="0.35"/>
    <row r="40" spans="1:14" x14ac:dyDescent="0.3">
      <c r="A40" s="17" t="s">
        <v>68</v>
      </c>
      <c r="B40" s="18"/>
      <c r="C40" s="18"/>
      <c r="D40" s="18"/>
      <c r="E40" s="18"/>
      <c r="F40" s="19"/>
      <c r="H40" s="17" t="s">
        <v>152</v>
      </c>
      <c r="I40" s="18"/>
      <c r="J40" s="18"/>
      <c r="K40" s="18"/>
      <c r="L40" s="18"/>
      <c r="M40" s="19"/>
    </row>
    <row r="41" spans="1:14" x14ac:dyDescent="0.3">
      <c r="A41" s="1" t="s">
        <v>1</v>
      </c>
      <c r="B41" t="s">
        <v>67</v>
      </c>
      <c r="C41" t="s">
        <v>75</v>
      </c>
      <c r="D41" t="s">
        <v>76</v>
      </c>
      <c r="E41" t="s">
        <v>77</v>
      </c>
      <c r="F41" s="2" t="s">
        <v>3</v>
      </c>
      <c r="H41" s="1" t="s">
        <v>1</v>
      </c>
      <c r="I41" t="s">
        <v>116</v>
      </c>
      <c r="J41" t="s">
        <v>117</v>
      </c>
      <c r="K41" t="s">
        <v>118</v>
      </c>
      <c r="L41" t="s">
        <v>190</v>
      </c>
      <c r="M41" s="2" t="s">
        <v>3</v>
      </c>
    </row>
    <row r="42" spans="1:14" x14ac:dyDescent="0.3">
      <c r="A42" s="1">
        <v>1</v>
      </c>
      <c r="B42" t="s">
        <v>69</v>
      </c>
      <c r="C42" s="6" t="s">
        <v>80</v>
      </c>
      <c r="D42" s="6" t="s">
        <v>80</v>
      </c>
      <c r="E42">
        <v>4</v>
      </c>
      <c r="F42" s="2" t="b">
        <v>1</v>
      </c>
      <c r="H42" s="1">
        <v>1</v>
      </c>
      <c r="I42">
        <v>1</v>
      </c>
      <c r="J42" t="s">
        <v>119</v>
      </c>
      <c r="K42" t="s">
        <v>11</v>
      </c>
      <c r="L42" t="b">
        <v>1</v>
      </c>
      <c r="M42" s="2" t="b">
        <v>1</v>
      </c>
    </row>
    <row r="43" spans="1:14" x14ac:dyDescent="0.3">
      <c r="A43" s="1">
        <v>2</v>
      </c>
      <c r="B43" t="s">
        <v>70</v>
      </c>
      <c r="C43" s="6" t="s">
        <v>81</v>
      </c>
      <c r="D43" s="6" t="s">
        <v>81</v>
      </c>
      <c r="E43">
        <v>5</v>
      </c>
      <c r="F43" s="2" t="b">
        <v>1</v>
      </c>
      <c r="H43" s="1">
        <v>2</v>
      </c>
      <c r="I43">
        <v>1</v>
      </c>
      <c r="J43" t="s">
        <v>120</v>
      </c>
      <c r="K43" t="s">
        <v>11</v>
      </c>
      <c r="L43" t="b">
        <v>1</v>
      </c>
      <c r="M43" s="2" t="b">
        <v>1</v>
      </c>
    </row>
    <row r="44" spans="1:14" ht="15" thickBot="1" x14ac:dyDescent="0.35">
      <c r="A44" s="3">
        <v>3</v>
      </c>
      <c r="B44" s="4" t="s">
        <v>71</v>
      </c>
      <c r="C44" s="7" t="s">
        <v>82</v>
      </c>
      <c r="D44" s="7" t="s">
        <v>82</v>
      </c>
      <c r="E44" s="4">
        <v>6</v>
      </c>
      <c r="F44" s="5" t="b">
        <v>1</v>
      </c>
      <c r="H44" s="3">
        <v>3</v>
      </c>
      <c r="I44" s="4">
        <v>1</v>
      </c>
      <c r="J44" s="4" t="s">
        <v>121</v>
      </c>
      <c r="K44" s="4" t="s">
        <v>11</v>
      </c>
      <c r="L44" s="4" t="b">
        <v>1</v>
      </c>
      <c r="M44" s="5" t="b">
        <v>1</v>
      </c>
    </row>
    <row r="46" spans="1:14" ht="15" thickBot="1" x14ac:dyDescent="0.35"/>
    <row r="47" spans="1:14" x14ac:dyDescent="0.3">
      <c r="A47" s="17" t="s">
        <v>83</v>
      </c>
      <c r="B47" s="18"/>
      <c r="C47" s="18"/>
      <c r="D47" s="19"/>
      <c r="F47" s="17" t="s">
        <v>72</v>
      </c>
      <c r="G47" s="18"/>
      <c r="H47" s="18"/>
      <c r="I47" s="18"/>
      <c r="J47" s="18"/>
      <c r="K47" s="18"/>
      <c r="L47" s="18"/>
      <c r="M47" s="19"/>
    </row>
    <row r="48" spans="1:14" x14ac:dyDescent="0.3">
      <c r="A48" s="1" t="s">
        <v>1</v>
      </c>
      <c r="B48" t="s">
        <v>84</v>
      </c>
      <c r="C48" t="s">
        <v>85</v>
      </c>
      <c r="D48" s="2" t="s">
        <v>3</v>
      </c>
      <c r="F48" s="1" t="s">
        <v>1</v>
      </c>
      <c r="G48" s="23" t="s">
        <v>73</v>
      </c>
      <c r="H48" s="23" t="s">
        <v>74</v>
      </c>
      <c r="I48" s="23" t="s">
        <v>75</v>
      </c>
      <c r="J48" s="23" t="s">
        <v>76</v>
      </c>
      <c r="K48" s="23" t="s">
        <v>77</v>
      </c>
      <c r="L48" s="23" t="s">
        <v>280</v>
      </c>
      <c r="M48" s="2" t="s">
        <v>3</v>
      </c>
    </row>
    <row r="49" spans="1:13" x14ac:dyDescent="0.3">
      <c r="A49" s="1">
        <v>1</v>
      </c>
      <c r="B49" t="s">
        <v>95</v>
      </c>
      <c r="C49" t="s">
        <v>11</v>
      </c>
      <c r="D49" s="2" t="b">
        <v>1</v>
      </c>
      <c r="F49" s="1">
        <v>1</v>
      </c>
      <c r="G49" s="23" t="s">
        <v>78</v>
      </c>
      <c r="H49" s="23">
        <v>1</v>
      </c>
      <c r="I49" s="29" t="s">
        <v>80</v>
      </c>
      <c r="J49" s="29" t="s">
        <v>80</v>
      </c>
      <c r="K49" s="23">
        <v>4</v>
      </c>
      <c r="L49" s="23" t="s">
        <v>282</v>
      </c>
      <c r="M49" s="2" t="b">
        <v>1</v>
      </c>
    </row>
    <row r="50" spans="1:13" x14ac:dyDescent="0.3">
      <c r="A50" s="1">
        <v>2</v>
      </c>
      <c r="B50" t="s">
        <v>96</v>
      </c>
      <c r="C50" t="s">
        <v>11</v>
      </c>
      <c r="D50" s="2" t="b">
        <v>1</v>
      </c>
      <c r="F50" s="1">
        <v>2</v>
      </c>
      <c r="G50" s="23" t="s">
        <v>79</v>
      </c>
      <c r="H50" s="23">
        <v>1</v>
      </c>
      <c r="I50" s="29" t="s">
        <v>81</v>
      </c>
      <c r="J50" s="29" t="s">
        <v>81</v>
      </c>
      <c r="K50" s="23">
        <v>5</v>
      </c>
      <c r="L50" s="23" t="s">
        <v>282</v>
      </c>
      <c r="M50" s="2" t="b">
        <v>1</v>
      </c>
    </row>
    <row r="51" spans="1:13" ht="15" thickBot="1" x14ac:dyDescent="0.35">
      <c r="A51" s="3">
        <v>3</v>
      </c>
      <c r="B51" t="s">
        <v>97</v>
      </c>
      <c r="C51" s="4" t="s">
        <v>11</v>
      </c>
      <c r="D51" s="5" t="b">
        <v>1</v>
      </c>
      <c r="F51" s="3">
        <v>3</v>
      </c>
      <c r="G51" s="4" t="s">
        <v>98</v>
      </c>
      <c r="H51" s="4">
        <v>1</v>
      </c>
      <c r="I51" s="7" t="s">
        <v>82</v>
      </c>
      <c r="J51" s="7" t="s">
        <v>82</v>
      </c>
      <c r="K51" s="4">
        <v>6</v>
      </c>
      <c r="L51" s="4" t="s">
        <v>281</v>
      </c>
      <c r="M51" s="5" t="b">
        <v>1</v>
      </c>
    </row>
    <row r="53" spans="1:13" ht="15" thickBot="1" x14ac:dyDescent="0.35"/>
    <row r="54" spans="1:13" x14ac:dyDescent="0.3">
      <c r="A54" s="17" t="s">
        <v>86</v>
      </c>
      <c r="B54" s="18"/>
      <c r="C54" s="18"/>
      <c r="D54" s="18"/>
      <c r="E54" s="18"/>
      <c r="F54" s="18"/>
      <c r="G54" s="18"/>
      <c r="H54" s="18"/>
      <c r="I54" s="19"/>
    </row>
    <row r="55" spans="1:13" x14ac:dyDescent="0.3">
      <c r="A55" s="1" t="s">
        <v>1</v>
      </c>
      <c r="B55" t="s">
        <v>87</v>
      </c>
      <c r="C55" t="s">
        <v>88</v>
      </c>
      <c r="D55" t="s">
        <v>89</v>
      </c>
      <c r="E55" t="s">
        <v>90</v>
      </c>
      <c r="F55" t="s">
        <v>75</v>
      </c>
      <c r="G55" t="s">
        <v>76</v>
      </c>
      <c r="H55" t="s">
        <v>91</v>
      </c>
      <c r="I55" s="2" t="s">
        <v>3</v>
      </c>
    </row>
    <row r="56" spans="1:13" x14ac:dyDescent="0.3">
      <c r="A56" s="1">
        <v>1</v>
      </c>
      <c r="B56" t="s">
        <v>92</v>
      </c>
      <c r="C56" t="s">
        <v>102</v>
      </c>
      <c r="D56">
        <v>3</v>
      </c>
      <c r="E56" t="s">
        <v>99</v>
      </c>
      <c r="F56" s="6" t="s">
        <v>80</v>
      </c>
      <c r="G56" s="6" t="s">
        <v>80</v>
      </c>
      <c r="H56">
        <v>2</v>
      </c>
      <c r="I56" s="2" t="b">
        <v>1</v>
      </c>
    </row>
    <row r="57" spans="1:13" x14ac:dyDescent="0.3">
      <c r="A57" s="1">
        <v>2</v>
      </c>
      <c r="B57" t="s">
        <v>93</v>
      </c>
      <c r="C57" t="s">
        <v>103</v>
      </c>
      <c r="D57">
        <v>2</v>
      </c>
      <c r="E57" t="s">
        <v>100</v>
      </c>
      <c r="F57" s="6" t="s">
        <v>81</v>
      </c>
      <c r="G57" s="6" t="s">
        <v>81</v>
      </c>
      <c r="H57">
        <v>1</v>
      </c>
      <c r="I57" s="2" t="b">
        <v>1</v>
      </c>
    </row>
    <row r="58" spans="1:13" ht="15" thickBot="1" x14ac:dyDescent="0.35">
      <c r="A58" s="3">
        <v>3</v>
      </c>
      <c r="B58" s="4" t="s">
        <v>94</v>
      </c>
      <c r="C58" s="4" t="s">
        <v>104</v>
      </c>
      <c r="D58" s="4">
        <v>1</v>
      </c>
      <c r="E58" s="4" t="s">
        <v>101</v>
      </c>
      <c r="F58" s="7" t="s">
        <v>82</v>
      </c>
      <c r="G58" s="7" t="s">
        <v>82</v>
      </c>
      <c r="H58" s="4">
        <v>1</v>
      </c>
      <c r="I58" s="5" t="b">
        <v>1</v>
      </c>
    </row>
    <row r="60" spans="1:13" ht="15" thickBot="1" x14ac:dyDescent="0.35"/>
    <row r="61" spans="1:13" x14ac:dyDescent="0.3">
      <c r="A61" s="17" t="s">
        <v>135</v>
      </c>
      <c r="B61" s="18"/>
      <c r="C61" s="18"/>
      <c r="D61" s="18"/>
      <c r="E61" s="19"/>
      <c r="G61" s="17" t="s">
        <v>136</v>
      </c>
      <c r="H61" s="18"/>
      <c r="I61" s="18"/>
      <c r="J61" s="18"/>
      <c r="K61" s="19"/>
    </row>
    <row r="62" spans="1:13" x14ac:dyDescent="0.3">
      <c r="A62" s="1" t="s">
        <v>1</v>
      </c>
      <c r="B62" t="s">
        <v>138</v>
      </c>
      <c r="C62" t="s">
        <v>37</v>
      </c>
      <c r="D62" t="s">
        <v>39</v>
      </c>
      <c r="E62" s="2" t="s">
        <v>3</v>
      </c>
      <c r="G62" s="1" t="s">
        <v>1</v>
      </c>
      <c r="H62" t="s">
        <v>138</v>
      </c>
      <c r="I62" t="s">
        <v>37</v>
      </c>
      <c r="J62" t="s">
        <v>90</v>
      </c>
      <c r="K62" s="2" t="s">
        <v>3</v>
      </c>
    </row>
    <row r="63" spans="1:13" x14ac:dyDescent="0.3">
      <c r="A63" s="1">
        <v>1</v>
      </c>
      <c r="B63">
        <v>1</v>
      </c>
      <c r="C63" t="s">
        <v>122</v>
      </c>
      <c r="D63" t="str">
        <f>CONCATENATE(C63,"@andez.com.ar")</f>
        <v>Compras@andez.com.ar</v>
      </c>
      <c r="E63" s="2" t="b">
        <v>1</v>
      </c>
      <c r="G63" s="1">
        <v>1</v>
      </c>
      <c r="H63">
        <v>1</v>
      </c>
      <c r="I63" t="s">
        <v>125</v>
      </c>
      <c r="J63">
        <v>45552646</v>
      </c>
      <c r="K63" s="2" t="b">
        <v>1</v>
      </c>
    </row>
    <row r="64" spans="1:13" x14ac:dyDescent="0.3">
      <c r="A64" s="1">
        <v>2</v>
      </c>
      <c r="B64">
        <v>1</v>
      </c>
      <c r="C64" t="s">
        <v>123</v>
      </c>
      <c r="D64" t="str">
        <f>CONCATENATE(C64,"@andez.com.ar")</f>
        <v>RRHH@andez.com.ar</v>
      </c>
      <c r="E64" s="2" t="b">
        <v>1</v>
      </c>
      <c r="G64" s="1">
        <v>2</v>
      </c>
      <c r="H64">
        <v>1</v>
      </c>
      <c r="I64" t="s">
        <v>126</v>
      </c>
      <c r="J64">
        <v>45552646</v>
      </c>
      <c r="K64" s="2" t="b">
        <v>1</v>
      </c>
    </row>
    <row r="65" spans="1:12" ht="15" thickBot="1" x14ac:dyDescent="0.35">
      <c r="A65" s="3">
        <v>3</v>
      </c>
      <c r="B65" s="4">
        <v>1</v>
      </c>
      <c r="C65" s="4" t="s">
        <v>124</v>
      </c>
      <c r="D65" s="4" t="str">
        <f>CONCATENATE(C65,"@andez.com.ar")</f>
        <v>Ventas@andez.com.ar</v>
      </c>
      <c r="E65" s="5" t="b">
        <v>1</v>
      </c>
      <c r="G65" s="3">
        <v>3</v>
      </c>
      <c r="H65" s="4">
        <v>1</v>
      </c>
      <c r="I65" s="4" t="s">
        <v>127</v>
      </c>
      <c r="J65" s="4">
        <v>1545552646</v>
      </c>
      <c r="K65" s="5" t="b">
        <v>1</v>
      </c>
    </row>
    <row r="67" spans="1:12" ht="15" thickBot="1" x14ac:dyDescent="0.35"/>
    <row r="68" spans="1:12" x14ac:dyDescent="0.3">
      <c r="A68" s="17" t="s">
        <v>137</v>
      </c>
      <c r="B68" s="18"/>
      <c r="C68" s="18"/>
      <c r="D68" s="18"/>
      <c r="E68" s="19"/>
    </row>
    <row r="69" spans="1:12" x14ac:dyDescent="0.3">
      <c r="A69" s="1" t="s">
        <v>1</v>
      </c>
      <c r="B69" t="s">
        <v>138</v>
      </c>
      <c r="C69" t="s">
        <v>128</v>
      </c>
      <c r="D69" t="s">
        <v>129</v>
      </c>
      <c r="E69" s="13" t="s">
        <v>3</v>
      </c>
    </row>
    <row r="70" spans="1:12" x14ac:dyDescent="0.3">
      <c r="A70" s="1">
        <v>1</v>
      </c>
      <c r="B70">
        <v>1</v>
      </c>
      <c r="C70" t="s">
        <v>131</v>
      </c>
      <c r="D70" t="s">
        <v>11</v>
      </c>
      <c r="E70" s="2" t="b">
        <v>1</v>
      </c>
    </row>
    <row r="71" spans="1:12" x14ac:dyDescent="0.3">
      <c r="A71" s="1">
        <v>2</v>
      </c>
      <c r="B71">
        <v>1</v>
      </c>
      <c r="C71" t="s">
        <v>130</v>
      </c>
      <c r="D71" t="s">
        <v>11</v>
      </c>
      <c r="E71" s="2" t="b">
        <v>1</v>
      </c>
    </row>
    <row r="72" spans="1:12" ht="15" thickBot="1" x14ac:dyDescent="0.35">
      <c r="A72" s="3">
        <v>3</v>
      </c>
      <c r="B72" s="4">
        <v>1</v>
      </c>
      <c r="C72" s="4" t="s">
        <v>132</v>
      </c>
      <c r="D72" s="4" t="s">
        <v>11</v>
      </c>
      <c r="E72" s="5" t="b">
        <v>1</v>
      </c>
    </row>
    <row r="74" spans="1:12" ht="15" thickBot="1" x14ac:dyDescent="0.35"/>
    <row r="75" spans="1:12" x14ac:dyDescent="0.3">
      <c r="A75" s="17" t="s">
        <v>139</v>
      </c>
      <c r="B75" s="18"/>
      <c r="C75" s="18"/>
      <c r="D75" s="18"/>
      <c r="E75" s="18"/>
      <c r="F75" s="18"/>
      <c r="G75" s="18"/>
      <c r="H75" s="18"/>
      <c r="I75" s="18"/>
      <c r="J75" s="19"/>
    </row>
    <row r="76" spans="1:12" x14ac:dyDescent="0.3">
      <c r="A76" s="1" t="s">
        <v>1</v>
      </c>
      <c r="B76" t="s">
        <v>87</v>
      </c>
      <c r="C76" t="s">
        <v>141</v>
      </c>
      <c r="D76" t="s">
        <v>88</v>
      </c>
      <c r="E76" t="s">
        <v>144</v>
      </c>
      <c r="F76" t="s">
        <v>146</v>
      </c>
      <c r="G76" t="s">
        <v>89</v>
      </c>
      <c r="H76" t="s">
        <v>148</v>
      </c>
      <c r="I76" t="s">
        <v>150</v>
      </c>
      <c r="J76" s="2" t="s">
        <v>3</v>
      </c>
    </row>
    <row r="77" spans="1:12" ht="15" thickBot="1" x14ac:dyDescent="0.35">
      <c r="A77" s="3">
        <v>1</v>
      </c>
      <c r="B77" s="4" t="s">
        <v>140</v>
      </c>
      <c r="C77" s="4" t="s">
        <v>142</v>
      </c>
      <c r="D77" s="4" t="s">
        <v>143</v>
      </c>
      <c r="E77" s="4" t="s">
        <v>145</v>
      </c>
      <c r="F77" s="4" t="s">
        <v>147</v>
      </c>
      <c r="G77" s="4">
        <v>2</v>
      </c>
      <c r="H77" s="4" t="s">
        <v>149</v>
      </c>
      <c r="I77" s="4" t="s">
        <v>151</v>
      </c>
      <c r="J77" s="5" t="b">
        <v>1</v>
      </c>
    </row>
    <row r="79" spans="1:12" ht="15" thickBot="1" x14ac:dyDescent="0.35"/>
    <row r="80" spans="1:12" x14ac:dyDescent="0.3">
      <c r="A80" s="17" t="s">
        <v>153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/>
    </row>
    <row r="81" spans="1:14" x14ac:dyDescent="0.3">
      <c r="A81" s="1" t="s">
        <v>1</v>
      </c>
      <c r="B81" t="s">
        <v>154</v>
      </c>
      <c r="C81" t="s">
        <v>197</v>
      </c>
      <c r="D81" t="s">
        <v>37</v>
      </c>
      <c r="E81" t="s">
        <v>118</v>
      </c>
      <c r="F81" t="s">
        <v>117</v>
      </c>
      <c r="G81" t="s">
        <v>57</v>
      </c>
      <c r="H81" t="s">
        <v>155</v>
      </c>
      <c r="I81" t="s">
        <v>156</v>
      </c>
      <c r="J81" t="s">
        <v>157</v>
      </c>
      <c r="K81" t="s">
        <v>158</v>
      </c>
      <c r="L81" s="2" t="s">
        <v>3</v>
      </c>
    </row>
    <row r="82" spans="1:14" x14ac:dyDescent="0.3">
      <c r="A82" s="1">
        <v>1</v>
      </c>
      <c r="B82">
        <v>1</v>
      </c>
      <c r="C82">
        <v>1</v>
      </c>
      <c r="D82" t="s">
        <v>159</v>
      </c>
      <c r="E82" t="s">
        <v>11</v>
      </c>
      <c r="F82" t="s">
        <v>162</v>
      </c>
      <c r="G82" s="15" t="s">
        <v>58</v>
      </c>
      <c r="H82" t="s">
        <v>11</v>
      </c>
      <c r="I82" t="b">
        <v>1</v>
      </c>
      <c r="J82" t="b">
        <v>1</v>
      </c>
      <c r="K82" t="b">
        <v>0</v>
      </c>
      <c r="L82" s="8" t="b">
        <v>1</v>
      </c>
    </row>
    <row r="83" spans="1:14" x14ac:dyDescent="0.3">
      <c r="A83" s="1">
        <v>2</v>
      </c>
      <c r="B83">
        <v>2</v>
      </c>
      <c r="C83">
        <v>5</v>
      </c>
      <c r="D83" t="s">
        <v>160</v>
      </c>
      <c r="E83" t="s">
        <v>11</v>
      </c>
      <c r="F83" t="s">
        <v>163</v>
      </c>
      <c r="G83" s="15" t="s">
        <v>58</v>
      </c>
      <c r="H83" t="s">
        <v>191</v>
      </c>
      <c r="I83" t="b">
        <v>0</v>
      </c>
      <c r="J83" t="b">
        <v>0</v>
      </c>
      <c r="K83" t="b">
        <v>0</v>
      </c>
      <c r="L83" s="2" t="b">
        <v>1</v>
      </c>
    </row>
    <row r="84" spans="1:14" ht="15" thickBot="1" x14ac:dyDescent="0.35">
      <c r="A84" s="3">
        <v>3</v>
      </c>
      <c r="B84" s="4">
        <v>3</v>
      </c>
      <c r="C84" s="4">
        <v>2</v>
      </c>
      <c r="D84" s="4" t="s">
        <v>161</v>
      </c>
      <c r="E84" s="4" t="s">
        <v>11</v>
      </c>
      <c r="F84" s="4" t="s">
        <v>164</v>
      </c>
      <c r="G84" s="14" t="s">
        <v>58</v>
      </c>
      <c r="H84" s="4" t="s">
        <v>11</v>
      </c>
      <c r="I84" s="4" t="b">
        <v>1</v>
      </c>
      <c r="J84" s="4" t="b">
        <v>0</v>
      </c>
      <c r="K84" s="4" t="b">
        <v>0</v>
      </c>
      <c r="L84" s="9" t="b">
        <v>1</v>
      </c>
    </row>
    <row r="86" spans="1:14" ht="15" thickBot="1" x14ac:dyDescent="0.35"/>
    <row r="87" spans="1:14" x14ac:dyDescent="0.3">
      <c r="A87" s="17" t="s">
        <v>165</v>
      </c>
      <c r="B87" s="19"/>
      <c r="D87" s="17" t="s">
        <v>168</v>
      </c>
      <c r="E87" s="18"/>
      <c r="F87" s="19"/>
      <c r="H87" s="17" t="s">
        <v>183</v>
      </c>
      <c r="I87" s="18"/>
      <c r="J87" s="18"/>
      <c r="K87" s="18"/>
      <c r="L87" s="19"/>
    </row>
    <row r="88" spans="1:14" x14ac:dyDescent="0.3">
      <c r="A88" s="1" t="s">
        <v>1</v>
      </c>
      <c r="B88" s="2" t="s">
        <v>166</v>
      </c>
      <c r="D88" s="1" t="s">
        <v>1</v>
      </c>
      <c r="E88" t="s">
        <v>37</v>
      </c>
      <c r="F88" s="2" t="s">
        <v>3</v>
      </c>
      <c r="H88" s="1" t="s">
        <v>1</v>
      </c>
      <c r="I88" t="s">
        <v>37</v>
      </c>
      <c r="J88" t="s">
        <v>204</v>
      </c>
      <c r="K88" t="s">
        <v>199</v>
      </c>
      <c r="L88" s="2" t="s">
        <v>3</v>
      </c>
    </row>
    <row r="89" spans="1:14" x14ac:dyDescent="0.3">
      <c r="A89" s="1">
        <v>1</v>
      </c>
      <c r="B89" s="2" t="s">
        <v>167</v>
      </c>
      <c r="D89" s="1">
        <v>1</v>
      </c>
      <c r="E89" t="s">
        <v>117</v>
      </c>
      <c r="F89" s="2" t="b">
        <v>1</v>
      </c>
      <c r="H89" s="1">
        <v>1</v>
      </c>
      <c r="I89" t="s">
        <v>184</v>
      </c>
      <c r="J89" t="s">
        <v>200</v>
      </c>
      <c r="K89" t="s">
        <v>191</v>
      </c>
      <c r="L89" s="2" t="b">
        <v>1</v>
      </c>
    </row>
    <row r="90" spans="1:14" x14ac:dyDescent="0.3">
      <c r="A90" s="1">
        <v>2</v>
      </c>
      <c r="B90" s="2" t="s">
        <v>86</v>
      </c>
      <c r="D90" s="1">
        <v>2</v>
      </c>
      <c r="E90" t="s">
        <v>169</v>
      </c>
      <c r="F90" s="2" t="b">
        <v>1</v>
      </c>
      <c r="H90" s="1">
        <v>2</v>
      </c>
      <c r="I90" t="s">
        <v>185</v>
      </c>
      <c r="J90" t="s">
        <v>201</v>
      </c>
      <c r="K90" t="s">
        <v>191</v>
      </c>
      <c r="L90" s="2" t="b">
        <v>1</v>
      </c>
    </row>
    <row r="91" spans="1:14" ht="15" thickBot="1" x14ac:dyDescent="0.35">
      <c r="A91" s="3">
        <v>3</v>
      </c>
      <c r="B91" s="5" t="s">
        <v>49</v>
      </c>
      <c r="D91" s="3">
        <v>3</v>
      </c>
      <c r="E91" s="4" t="s">
        <v>170</v>
      </c>
      <c r="F91" s="5" t="b">
        <v>1</v>
      </c>
      <c r="H91" s="3">
        <v>3</v>
      </c>
      <c r="I91" s="4" t="s">
        <v>202</v>
      </c>
      <c r="J91" s="4" t="s">
        <v>203</v>
      </c>
      <c r="K91" s="4" t="s">
        <v>191</v>
      </c>
      <c r="L91" s="5" t="b">
        <v>1</v>
      </c>
    </row>
    <row r="93" spans="1:14" ht="15" thickBot="1" x14ac:dyDescent="0.35"/>
    <row r="94" spans="1:14" x14ac:dyDescent="0.3">
      <c r="A94" s="17" t="s">
        <v>196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9"/>
    </row>
    <row r="95" spans="1:14" x14ac:dyDescent="0.3">
      <c r="A95" s="1" t="s">
        <v>1</v>
      </c>
      <c r="B95" t="s">
        <v>182</v>
      </c>
      <c r="C95" t="s">
        <v>171</v>
      </c>
      <c r="D95" t="s">
        <v>172</v>
      </c>
      <c r="E95" t="s">
        <v>173</v>
      </c>
      <c r="F95" t="s">
        <v>174</v>
      </c>
      <c r="G95" t="s">
        <v>176</v>
      </c>
      <c r="H95" t="s">
        <v>175</v>
      </c>
      <c r="I95" t="s">
        <v>177</v>
      </c>
      <c r="J95" t="s">
        <v>178</v>
      </c>
      <c r="K95" t="s">
        <v>179</v>
      </c>
      <c r="L95" t="s">
        <v>180</v>
      </c>
      <c r="M95" t="s">
        <v>181</v>
      </c>
      <c r="N95" s="2" t="s">
        <v>3</v>
      </c>
    </row>
    <row r="96" spans="1:14" x14ac:dyDescent="0.3">
      <c r="A96" s="1">
        <v>1</v>
      </c>
      <c r="B96" t="s">
        <v>11</v>
      </c>
      <c r="C96" t="s">
        <v>191</v>
      </c>
      <c r="D96" t="s">
        <v>191</v>
      </c>
      <c r="E96" t="s">
        <v>191</v>
      </c>
      <c r="F96" t="s">
        <v>191</v>
      </c>
      <c r="G96" t="s">
        <v>191</v>
      </c>
      <c r="H96" t="s">
        <v>191</v>
      </c>
      <c r="I96" t="s">
        <v>191</v>
      </c>
      <c r="J96" t="s">
        <v>191</v>
      </c>
      <c r="K96" t="s">
        <v>191</v>
      </c>
      <c r="L96" t="s">
        <v>191</v>
      </c>
      <c r="M96" t="s">
        <v>191</v>
      </c>
      <c r="N96" s="2" t="b">
        <v>1</v>
      </c>
    </row>
    <row r="97" spans="1:14" x14ac:dyDescent="0.3">
      <c r="A97" s="1">
        <v>2</v>
      </c>
      <c r="B97" t="s">
        <v>11</v>
      </c>
      <c r="C97" t="s">
        <v>191</v>
      </c>
      <c r="D97" t="s">
        <v>191</v>
      </c>
      <c r="E97" t="s">
        <v>191</v>
      </c>
      <c r="F97" t="s">
        <v>191</v>
      </c>
      <c r="G97" t="s">
        <v>191</v>
      </c>
      <c r="H97" t="s">
        <v>191</v>
      </c>
      <c r="I97" t="s">
        <v>191</v>
      </c>
      <c r="J97" t="s">
        <v>191</v>
      </c>
      <c r="K97" t="s">
        <v>191</v>
      </c>
      <c r="L97" t="s">
        <v>191</v>
      </c>
      <c r="M97" t="s">
        <v>191</v>
      </c>
      <c r="N97" s="2" t="b">
        <v>1</v>
      </c>
    </row>
    <row r="98" spans="1:14" ht="15" thickBot="1" x14ac:dyDescent="0.35">
      <c r="A98" s="3">
        <v>3</v>
      </c>
      <c r="B98" s="4" t="s">
        <v>11</v>
      </c>
      <c r="C98" t="s">
        <v>191</v>
      </c>
      <c r="D98" t="s">
        <v>191</v>
      </c>
      <c r="E98" t="s">
        <v>191</v>
      </c>
      <c r="F98" t="s">
        <v>191</v>
      </c>
      <c r="G98" t="s">
        <v>191</v>
      </c>
      <c r="H98" t="s">
        <v>191</v>
      </c>
      <c r="I98" t="s">
        <v>191</v>
      </c>
      <c r="J98" t="s">
        <v>191</v>
      </c>
      <c r="K98" t="s">
        <v>191</v>
      </c>
      <c r="L98" t="s">
        <v>191</v>
      </c>
      <c r="M98" t="s">
        <v>191</v>
      </c>
      <c r="N98" s="5" t="b">
        <v>1</v>
      </c>
    </row>
    <row r="100" spans="1:14" ht="15" thickBot="1" x14ac:dyDescent="0.35"/>
    <row r="101" spans="1:14" x14ac:dyDescent="0.3">
      <c r="A101" s="17" t="s">
        <v>195</v>
      </c>
      <c r="B101" s="18"/>
      <c r="C101" s="18"/>
      <c r="D101" s="18"/>
      <c r="E101" s="18"/>
      <c r="F101" s="18"/>
      <c r="G101" s="18"/>
      <c r="H101" s="18"/>
      <c r="I101" s="19"/>
    </row>
    <row r="102" spans="1:14" x14ac:dyDescent="0.3">
      <c r="A102" s="1" t="s">
        <v>1</v>
      </c>
      <c r="B102" t="s">
        <v>186</v>
      </c>
      <c r="C102" t="s">
        <v>187</v>
      </c>
      <c r="D102" t="s">
        <v>0</v>
      </c>
      <c r="E102" t="s">
        <v>189</v>
      </c>
      <c r="F102" t="s">
        <v>192</v>
      </c>
      <c r="G102" t="s">
        <v>180</v>
      </c>
      <c r="H102" t="s">
        <v>193</v>
      </c>
      <c r="I102" s="2" t="s">
        <v>3</v>
      </c>
    </row>
    <row r="103" spans="1:14" x14ac:dyDescent="0.3">
      <c r="A103" s="1">
        <v>1</v>
      </c>
      <c r="B103">
        <v>1</v>
      </c>
      <c r="C103">
        <v>1</v>
      </c>
      <c r="D103" t="s">
        <v>188</v>
      </c>
      <c r="E103">
        <v>18</v>
      </c>
      <c r="F103" t="b">
        <v>0</v>
      </c>
      <c r="G103" t="b">
        <v>0</v>
      </c>
      <c r="H103">
        <v>0</v>
      </c>
      <c r="I103" s="2" t="b">
        <v>1</v>
      </c>
    </row>
    <row r="104" spans="1:14" x14ac:dyDescent="0.3">
      <c r="A104" s="1">
        <v>2</v>
      </c>
      <c r="B104">
        <v>2</v>
      </c>
      <c r="C104">
        <v>3</v>
      </c>
      <c r="D104" t="s">
        <v>188</v>
      </c>
      <c r="E104">
        <v>12</v>
      </c>
      <c r="F104" t="b">
        <v>0</v>
      </c>
      <c r="G104" t="b">
        <v>0</v>
      </c>
      <c r="H104">
        <v>0</v>
      </c>
      <c r="I104" s="2" t="b">
        <v>1</v>
      </c>
    </row>
    <row r="105" spans="1:14" ht="15" thickBot="1" x14ac:dyDescent="0.35">
      <c r="A105" s="3">
        <v>3</v>
      </c>
      <c r="B105" s="4">
        <v>1</v>
      </c>
      <c r="C105" s="4">
        <v>1</v>
      </c>
      <c r="D105" s="4" t="s">
        <v>188</v>
      </c>
      <c r="E105" s="4">
        <v>18</v>
      </c>
      <c r="F105" s="4" t="b">
        <v>0</v>
      </c>
      <c r="G105" s="4" t="b">
        <v>0</v>
      </c>
      <c r="H105" s="4">
        <v>0</v>
      </c>
      <c r="I105" s="5" t="b">
        <v>1</v>
      </c>
    </row>
    <row r="107" spans="1:14" ht="15" thickBot="1" x14ac:dyDescent="0.35"/>
    <row r="108" spans="1:14" x14ac:dyDescent="0.3">
      <c r="A108" s="17" t="s">
        <v>198</v>
      </c>
      <c r="B108" s="18"/>
      <c r="C108" s="18"/>
      <c r="D108" s="18"/>
      <c r="E108" s="19"/>
    </row>
    <row r="109" spans="1:14" x14ac:dyDescent="0.3">
      <c r="A109" s="1" t="s">
        <v>1</v>
      </c>
      <c r="B109" t="s">
        <v>91</v>
      </c>
      <c r="C109" t="s">
        <v>194</v>
      </c>
      <c r="D109" t="s">
        <v>197</v>
      </c>
      <c r="E109" s="2" t="s">
        <v>3</v>
      </c>
    </row>
    <row r="110" spans="1:14" x14ac:dyDescent="0.3">
      <c r="A110" s="1">
        <v>1</v>
      </c>
      <c r="B110">
        <v>3</v>
      </c>
      <c r="C110">
        <v>2</v>
      </c>
      <c r="D110">
        <v>6</v>
      </c>
      <c r="E110" s="2" t="b">
        <v>1</v>
      </c>
    </row>
    <row r="111" spans="1:14" x14ac:dyDescent="0.3">
      <c r="A111" s="1">
        <v>2</v>
      </c>
      <c r="B111">
        <v>2</v>
      </c>
      <c r="C111">
        <v>4</v>
      </c>
      <c r="D111">
        <v>6</v>
      </c>
      <c r="E111" s="2" t="b">
        <v>1</v>
      </c>
    </row>
    <row r="112" spans="1:14" ht="15" thickBot="1" x14ac:dyDescent="0.35">
      <c r="A112" s="3">
        <v>3</v>
      </c>
      <c r="B112" s="4">
        <v>4</v>
      </c>
      <c r="C112" s="4">
        <v>4</v>
      </c>
      <c r="D112" s="4">
        <v>5</v>
      </c>
      <c r="E112" s="5" t="b">
        <v>1</v>
      </c>
    </row>
    <row r="114" spans="1:14" ht="15" thickBot="1" x14ac:dyDescent="0.35"/>
    <row r="115" spans="1:14" x14ac:dyDescent="0.3">
      <c r="A115" s="17" t="s">
        <v>205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9"/>
    </row>
    <row r="116" spans="1:14" x14ac:dyDescent="0.3">
      <c r="A116" s="1" t="s">
        <v>1</v>
      </c>
      <c r="B116" t="s">
        <v>206</v>
      </c>
      <c r="C116" t="s">
        <v>39</v>
      </c>
      <c r="D116" t="s">
        <v>90</v>
      </c>
      <c r="E116" t="s">
        <v>226</v>
      </c>
      <c r="F116" t="s">
        <v>88</v>
      </c>
      <c r="G116" t="s">
        <v>227</v>
      </c>
      <c r="H116" t="s">
        <v>207</v>
      </c>
      <c r="I116" t="s">
        <v>228</v>
      </c>
      <c r="J116" t="s">
        <v>144</v>
      </c>
      <c r="K116" t="s">
        <v>225</v>
      </c>
      <c r="L116" t="s">
        <v>89</v>
      </c>
      <c r="M116" t="s">
        <v>208</v>
      </c>
      <c r="N116" s="2" t="s">
        <v>3</v>
      </c>
    </row>
    <row r="117" spans="1:14" x14ac:dyDescent="0.3">
      <c r="A117" s="1">
        <v>1</v>
      </c>
      <c r="B117" t="s">
        <v>209</v>
      </c>
      <c r="C117" t="s">
        <v>212</v>
      </c>
      <c r="D117">
        <v>5555511111</v>
      </c>
      <c r="E117">
        <v>3342342342</v>
      </c>
      <c r="F117" t="s">
        <v>191</v>
      </c>
      <c r="G117">
        <v>1545</v>
      </c>
      <c r="H117" t="s">
        <v>191</v>
      </c>
      <c r="I117" t="s">
        <v>191</v>
      </c>
      <c r="J117" t="s">
        <v>191</v>
      </c>
      <c r="K117" t="s">
        <v>191</v>
      </c>
      <c r="L117">
        <v>1</v>
      </c>
      <c r="M117" t="s">
        <v>191</v>
      </c>
      <c r="N117" s="2" t="b">
        <v>1</v>
      </c>
    </row>
    <row r="118" spans="1:14" x14ac:dyDescent="0.3">
      <c r="A118" s="1">
        <v>2</v>
      </c>
      <c r="B118" t="s">
        <v>210</v>
      </c>
      <c r="C118" t="s">
        <v>213</v>
      </c>
      <c r="D118">
        <v>5555522222</v>
      </c>
      <c r="E118">
        <v>3423423423</v>
      </c>
      <c r="F118" t="s">
        <v>191</v>
      </c>
      <c r="G118">
        <v>6985</v>
      </c>
      <c r="H118" t="s">
        <v>191</v>
      </c>
      <c r="I118" t="s">
        <v>191</v>
      </c>
      <c r="J118" t="s">
        <v>191</v>
      </c>
      <c r="K118" t="s">
        <v>191</v>
      </c>
      <c r="L118">
        <v>1</v>
      </c>
      <c r="M118" t="s">
        <v>191</v>
      </c>
      <c r="N118" s="2" t="b">
        <v>1</v>
      </c>
    </row>
    <row r="119" spans="1:14" ht="15" thickBot="1" x14ac:dyDescent="0.35">
      <c r="A119" s="3">
        <v>3</v>
      </c>
      <c r="B119" s="4" t="s">
        <v>211</v>
      </c>
      <c r="C119" s="4" t="s">
        <v>214</v>
      </c>
      <c r="D119" s="4">
        <v>5555533332</v>
      </c>
      <c r="E119" s="4">
        <v>3423423423</v>
      </c>
      <c r="F119" s="4" t="s">
        <v>216</v>
      </c>
      <c r="G119" s="4">
        <v>4784</v>
      </c>
      <c r="H119" s="4">
        <v>2</v>
      </c>
      <c r="I119" s="4" t="s">
        <v>215</v>
      </c>
      <c r="J119" s="4" t="s">
        <v>145</v>
      </c>
      <c r="K119" s="4" t="s">
        <v>145</v>
      </c>
      <c r="L119" s="4">
        <v>1</v>
      </c>
      <c r="M119" s="4">
        <v>1605</v>
      </c>
      <c r="N119" s="5" t="b">
        <v>1</v>
      </c>
    </row>
    <row r="121" spans="1:14" ht="15" thickBot="1" x14ac:dyDescent="0.35"/>
    <row r="122" spans="1:14" x14ac:dyDescent="0.3">
      <c r="A122" s="17" t="s">
        <v>217</v>
      </c>
      <c r="B122" s="18"/>
      <c r="C122" s="18"/>
      <c r="D122" s="18"/>
      <c r="E122" s="18"/>
      <c r="F122" s="19"/>
      <c r="H122" s="17" t="s">
        <v>257</v>
      </c>
      <c r="I122" s="18"/>
      <c r="J122" s="19"/>
      <c r="L122" s="17" t="s">
        <v>262</v>
      </c>
      <c r="M122" s="18"/>
      <c r="N122" s="19"/>
    </row>
    <row r="123" spans="1:14" x14ac:dyDescent="0.3">
      <c r="A123" s="1" t="s">
        <v>1</v>
      </c>
      <c r="B123" t="s">
        <v>218</v>
      </c>
      <c r="C123" t="s">
        <v>219</v>
      </c>
      <c r="D123" t="s">
        <v>220</v>
      </c>
      <c r="E123" t="s">
        <v>116</v>
      </c>
      <c r="F123" s="2" t="s">
        <v>3</v>
      </c>
      <c r="H123" s="1" t="s">
        <v>1</v>
      </c>
      <c r="I123" s="23" t="s">
        <v>258</v>
      </c>
      <c r="J123" s="2" t="s">
        <v>3</v>
      </c>
      <c r="L123" s="1" t="s">
        <v>1</v>
      </c>
      <c r="M123" s="23" t="s">
        <v>262</v>
      </c>
      <c r="N123" s="2" t="s">
        <v>3</v>
      </c>
    </row>
    <row r="124" spans="1:14" x14ac:dyDescent="0.3">
      <c r="A124" s="1">
        <v>1</v>
      </c>
      <c r="B124">
        <v>1</v>
      </c>
      <c r="C124" t="s">
        <v>191</v>
      </c>
      <c r="D124" t="s">
        <v>191</v>
      </c>
      <c r="E124">
        <v>1</v>
      </c>
      <c r="F124" s="2" t="b">
        <v>1</v>
      </c>
      <c r="H124" s="1">
        <v>1</v>
      </c>
      <c r="I124" s="23" t="s">
        <v>259</v>
      </c>
      <c r="J124" s="26" t="b">
        <v>1</v>
      </c>
      <c r="L124" s="1">
        <v>1</v>
      </c>
      <c r="M124" s="23" t="s">
        <v>263</v>
      </c>
      <c r="N124" s="26" t="b">
        <v>1</v>
      </c>
    </row>
    <row r="125" spans="1:14" x14ac:dyDescent="0.3">
      <c r="A125" s="1">
        <v>2</v>
      </c>
      <c r="B125">
        <v>2</v>
      </c>
      <c r="C125" t="s">
        <v>191</v>
      </c>
      <c r="D125" t="s">
        <v>191</v>
      </c>
      <c r="E125">
        <v>2</v>
      </c>
      <c r="F125" s="2" t="b">
        <v>1</v>
      </c>
      <c r="H125" s="1">
        <v>2</v>
      </c>
      <c r="I125" s="23" t="s">
        <v>260</v>
      </c>
      <c r="J125" s="27" t="b">
        <v>1</v>
      </c>
      <c r="L125" s="1">
        <v>2</v>
      </c>
      <c r="M125" s="23" t="s">
        <v>264</v>
      </c>
      <c r="N125" s="27" t="b">
        <v>1</v>
      </c>
    </row>
    <row r="126" spans="1:14" ht="15" thickBot="1" x14ac:dyDescent="0.35">
      <c r="A126" s="3">
        <v>3</v>
      </c>
      <c r="B126" s="4">
        <v>2</v>
      </c>
      <c r="C126" s="16">
        <v>44724</v>
      </c>
      <c r="D126" s="4">
        <v>33223</v>
      </c>
      <c r="E126" s="4">
        <v>3</v>
      </c>
      <c r="F126" s="5" t="b">
        <v>1</v>
      </c>
      <c r="H126" s="3">
        <v>3</v>
      </c>
      <c r="I126" s="4" t="s">
        <v>261</v>
      </c>
      <c r="J126" s="28" t="b">
        <v>1</v>
      </c>
      <c r="L126" s="3">
        <v>3</v>
      </c>
      <c r="M126" s="4" t="s">
        <v>265</v>
      </c>
      <c r="N126" s="28" t="b">
        <v>1</v>
      </c>
    </row>
    <row r="128" spans="1:14" ht="15" thickBot="1" x14ac:dyDescent="0.35"/>
    <row r="129" spans="1:27" x14ac:dyDescent="0.3">
      <c r="A129" s="17" t="s">
        <v>231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9"/>
    </row>
    <row r="130" spans="1:27" x14ac:dyDescent="0.3">
      <c r="A130" s="1" t="s">
        <v>1</v>
      </c>
      <c r="B130" s="23" t="s">
        <v>229</v>
      </c>
      <c r="C130" s="23" t="s">
        <v>230</v>
      </c>
      <c r="D130" s="23" t="s">
        <v>232</v>
      </c>
      <c r="E130" s="23" t="s">
        <v>233</v>
      </c>
      <c r="F130" s="23" t="s">
        <v>234</v>
      </c>
      <c r="G130" s="23" t="s">
        <v>235</v>
      </c>
      <c r="H130" s="23" t="s">
        <v>236</v>
      </c>
      <c r="I130" s="23" t="s">
        <v>237</v>
      </c>
      <c r="J130" s="23" t="s">
        <v>238</v>
      </c>
      <c r="K130" s="23" t="s">
        <v>239</v>
      </c>
      <c r="L130" s="23" t="s">
        <v>240</v>
      </c>
      <c r="M130" s="23" t="s">
        <v>241</v>
      </c>
      <c r="N130" s="23" t="s">
        <v>242</v>
      </c>
      <c r="O130" s="23" t="s">
        <v>243</v>
      </c>
      <c r="P130" s="23" t="s">
        <v>244</v>
      </c>
      <c r="Q130" s="23" t="s">
        <v>247</v>
      </c>
      <c r="R130" s="23" t="s">
        <v>248</v>
      </c>
      <c r="S130" s="23" t="s">
        <v>249</v>
      </c>
      <c r="T130" s="23" t="s">
        <v>250</v>
      </c>
      <c r="U130" s="23" t="s">
        <v>251</v>
      </c>
      <c r="V130" s="23" t="s">
        <v>252</v>
      </c>
      <c r="W130" s="23" t="s">
        <v>253</v>
      </c>
      <c r="X130" s="23" t="s">
        <v>254</v>
      </c>
      <c r="Y130" s="23" t="s">
        <v>255</v>
      </c>
      <c r="Z130" s="23" t="s">
        <v>256</v>
      </c>
      <c r="AA130" s="2" t="s">
        <v>3</v>
      </c>
    </row>
    <row r="131" spans="1:27" x14ac:dyDescent="0.3">
      <c r="A131" s="1">
        <v>1</v>
      </c>
      <c r="B131" s="23">
        <v>1</v>
      </c>
      <c r="C131" s="23">
        <v>1</v>
      </c>
      <c r="D131" s="24">
        <v>46058</v>
      </c>
      <c r="E131" s="24">
        <v>46058</v>
      </c>
      <c r="F131" s="24">
        <v>46063</v>
      </c>
      <c r="G131" s="23">
        <v>1</v>
      </c>
      <c r="H131" s="23">
        <v>5</v>
      </c>
      <c r="I131" s="23">
        <v>2</v>
      </c>
      <c r="J131" s="25" t="s">
        <v>58</v>
      </c>
      <c r="K131" s="25" t="s">
        <v>58</v>
      </c>
      <c r="L131" s="23">
        <v>1</v>
      </c>
      <c r="M131" s="23" t="s">
        <v>191</v>
      </c>
      <c r="N131" s="23" t="s">
        <v>191</v>
      </c>
      <c r="O131" s="23" t="s">
        <v>191</v>
      </c>
      <c r="P131" s="23" t="s">
        <v>191</v>
      </c>
      <c r="Q131" s="23" t="s">
        <v>191</v>
      </c>
      <c r="R131" s="23">
        <v>1</v>
      </c>
      <c r="S131" s="23" t="s">
        <v>191</v>
      </c>
      <c r="T131" s="23" t="s">
        <v>191</v>
      </c>
      <c r="U131" s="23" t="s">
        <v>191</v>
      </c>
      <c r="V131" s="23" t="s">
        <v>191</v>
      </c>
      <c r="W131" s="23" t="s">
        <v>191</v>
      </c>
      <c r="X131" s="23" t="s">
        <v>191</v>
      </c>
      <c r="Y131" s="23" t="s">
        <v>191</v>
      </c>
      <c r="Z131" s="23">
        <v>1</v>
      </c>
      <c r="AA131" s="2" t="b">
        <v>1</v>
      </c>
    </row>
    <row r="132" spans="1:27" x14ac:dyDescent="0.3">
      <c r="A132" s="1">
        <v>2</v>
      </c>
      <c r="B132" s="23">
        <v>2</v>
      </c>
      <c r="C132" s="23">
        <v>1</v>
      </c>
      <c r="D132" s="24">
        <v>46059</v>
      </c>
      <c r="E132" s="24">
        <v>46059</v>
      </c>
      <c r="F132" s="24">
        <v>46065</v>
      </c>
      <c r="G132" s="23">
        <v>1</v>
      </c>
      <c r="H132" s="23">
        <v>8</v>
      </c>
      <c r="I132" s="23">
        <v>3</v>
      </c>
      <c r="J132" s="25" t="s">
        <v>58</v>
      </c>
      <c r="K132" s="25" t="s">
        <v>58</v>
      </c>
      <c r="L132" s="23">
        <v>2</v>
      </c>
      <c r="M132" s="23" t="s">
        <v>191</v>
      </c>
      <c r="N132" s="23" t="s">
        <v>191</v>
      </c>
      <c r="O132" s="23" t="s">
        <v>245</v>
      </c>
      <c r="P132" s="23">
        <v>2</v>
      </c>
      <c r="Q132" s="23">
        <v>1</v>
      </c>
      <c r="R132" s="23">
        <v>1</v>
      </c>
      <c r="S132" s="23" t="s">
        <v>191</v>
      </c>
      <c r="T132" s="23" t="s">
        <v>191</v>
      </c>
      <c r="U132" s="23" t="s">
        <v>191</v>
      </c>
      <c r="V132" s="23" t="s">
        <v>191</v>
      </c>
      <c r="W132" s="23" t="s">
        <v>191</v>
      </c>
      <c r="X132" s="23" t="s">
        <v>191</v>
      </c>
      <c r="Y132" s="23" t="s">
        <v>191</v>
      </c>
      <c r="Z132" s="23">
        <v>2</v>
      </c>
      <c r="AA132" s="2" t="b">
        <v>1</v>
      </c>
    </row>
    <row r="133" spans="1:27" ht="15" thickBot="1" x14ac:dyDescent="0.35">
      <c r="A133" s="3">
        <v>3</v>
      </c>
      <c r="B133" s="4">
        <v>3</v>
      </c>
      <c r="C133" s="4">
        <v>2</v>
      </c>
      <c r="D133" s="16">
        <v>46063</v>
      </c>
      <c r="E133" s="16">
        <v>46063</v>
      </c>
      <c r="F133" s="16">
        <v>46063</v>
      </c>
      <c r="G133" s="4">
        <v>2</v>
      </c>
      <c r="H133" s="4">
        <v>10</v>
      </c>
      <c r="I133" s="4">
        <v>3</v>
      </c>
      <c r="J133" s="14" t="s">
        <v>58</v>
      </c>
      <c r="K133" s="14" t="s">
        <v>58</v>
      </c>
      <c r="L133" s="4">
        <v>3</v>
      </c>
      <c r="M133" s="4" t="s">
        <v>191</v>
      </c>
      <c r="N133" s="4" t="s">
        <v>191</v>
      </c>
      <c r="O133" s="4" t="s">
        <v>246</v>
      </c>
      <c r="P133" s="4">
        <v>1</v>
      </c>
      <c r="Q133" s="4">
        <v>1</v>
      </c>
      <c r="R133" s="4">
        <v>3</v>
      </c>
      <c r="S133" s="4" t="s">
        <v>191</v>
      </c>
      <c r="T133" s="4" t="s">
        <v>191</v>
      </c>
      <c r="U133" s="4" t="s">
        <v>191</v>
      </c>
      <c r="V133" s="4" t="s">
        <v>191</v>
      </c>
      <c r="W133" s="4" t="s">
        <v>191</v>
      </c>
      <c r="X133" s="4" t="s">
        <v>191</v>
      </c>
      <c r="Y133" s="4" t="s">
        <v>191</v>
      </c>
      <c r="Z133" s="4">
        <v>3</v>
      </c>
      <c r="AA133" s="5" t="b">
        <v>1</v>
      </c>
    </row>
    <row r="135" spans="1:27" ht="15" thickBot="1" x14ac:dyDescent="0.35"/>
    <row r="136" spans="1:27" x14ac:dyDescent="0.3">
      <c r="A136" s="17" t="s">
        <v>266</v>
      </c>
      <c r="B136" s="18"/>
      <c r="C136" s="19"/>
      <c r="E136" s="17" t="s">
        <v>270</v>
      </c>
      <c r="F136" s="18"/>
      <c r="G136" s="19"/>
      <c r="I136" s="17" t="s">
        <v>272</v>
      </c>
      <c r="J136" s="18"/>
      <c r="K136" s="18"/>
      <c r="L136" s="19"/>
      <c r="N136" s="17" t="s">
        <v>277</v>
      </c>
      <c r="O136" s="18"/>
      <c r="P136" s="18"/>
      <c r="Q136" s="18"/>
      <c r="R136" s="19"/>
    </row>
    <row r="137" spans="1:27" x14ac:dyDescent="0.3">
      <c r="A137" s="1" t="s">
        <v>1</v>
      </c>
      <c r="B137" s="23" t="s">
        <v>266</v>
      </c>
      <c r="C137" s="2" t="s">
        <v>3</v>
      </c>
      <c r="E137" s="1" t="s">
        <v>1</v>
      </c>
      <c r="F137" s="23" t="s">
        <v>270</v>
      </c>
      <c r="G137" s="2" t="s">
        <v>3</v>
      </c>
      <c r="I137" s="1" t="s">
        <v>1</v>
      </c>
      <c r="J137" s="23" t="s">
        <v>273</v>
      </c>
      <c r="K137" s="23" t="s">
        <v>272</v>
      </c>
      <c r="L137" s="2" t="s">
        <v>3</v>
      </c>
      <c r="N137" s="1" t="s">
        <v>1</v>
      </c>
      <c r="O137" s="23" t="s">
        <v>273</v>
      </c>
      <c r="P137" s="23" t="s">
        <v>278</v>
      </c>
      <c r="Q137" s="23" t="s">
        <v>279</v>
      </c>
      <c r="R137" s="2" t="s">
        <v>3</v>
      </c>
    </row>
    <row r="138" spans="1:27" x14ac:dyDescent="0.3">
      <c r="A138" s="1">
        <v>1</v>
      </c>
      <c r="B138" s="23" t="s">
        <v>267</v>
      </c>
      <c r="C138" s="26" t="b">
        <v>1</v>
      </c>
      <c r="E138" s="1">
        <v>1</v>
      </c>
      <c r="F138" s="23" t="s">
        <v>271</v>
      </c>
      <c r="G138" s="26" t="b">
        <v>1</v>
      </c>
      <c r="I138" s="1">
        <v>1</v>
      </c>
      <c r="J138" s="23">
        <v>11</v>
      </c>
      <c r="K138" s="23" t="s">
        <v>274</v>
      </c>
      <c r="L138" s="26" t="b">
        <v>1</v>
      </c>
      <c r="N138" s="1">
        <v>1</v>
      </c>
      <c r="O138" s="23">
        <v>1</v>
      </c>
      <c r="P138" s="24">
        <v>46058</v>
      </c>
      <c r="Q138" s="25" t="s">
        <v>58</v>
      </c>
      <c r="R138" s="26" t="b">
        <v>1</v>
      </c>
    </row>
    <row r="139" spans="1:27" x14ac:dyDescent="0.3">
      <c r="A139" s="1">
        <v>2</v>
      </c>
      <c r="B139" s="23" t="s">
        <v>268</v>
      </c>
      <c r="C139" s="27" t="b">
        <v>1</v>
      </c>
      <c r="E139" s="1">
        <v>2</v>
      </c>
      <c r="F139" s="23" t="s">
        <v>39</v>
      </c>
      <c r="G139" s="27" t="b">
        <v>1</v>
      </c>
      <c r="I139" s="1">
        <v>2</v>
      </c>
      <c r="J139" s="23">
        <v>21</v>
      </c>
      <c r="K139" s="23" t="s">
        <v>275</v>
      </c>
      <c r="L139" s="27" t="b">
        <v>1</v>
      </c>
      <c r="N139" s="1">
        <v>2</v>
      </c>
      <c r="O139" s="23">
        <v>1</v>
      </c>
      <c r="P139" s="24">
        <v>46059</v>
      </c>
      <c r="Q139" s="25" t="s">
        <v>58</v>
      </c>
      <c r="R139" s="27" t="b">
        <v>1</v>
      </c>
    </row>
    <row r="140" spans="1:27" ht="15" thickBot="1" x14ac:dyDescent="0.35">
      <c r="A140" s="3">
        <v>3</v>
      </c>
      <c r="B140" s="4" t="s">
        <v>269</v>
      </c>
      <c r="C140" s="28" t="b">
        <v>1</v>
      </c>
      <c r="E140" s="3">
        <v>3</v>
      </c>
      <c r="F140" s="4" t="s">
        <v>90</v>
      </c>
      <c r="G140" s="28" t="b">
        <v>1</v>
      </c>
      <c r="I140" s="3">
        <v>3</v>
      </c>
      <c r="J140" s="4">
        <v>31</v>
      </c>
      <c r="K140" s="4" t="s">
        <v>276</v>
      </c>
      <c r="L140" s="28" t="b">
        <v>1</v>
      </c>
      <c r="N140" s="3">
        <v>3</v>
      </c>
      <c r="O140" s="4">
        <v>1</v>
      </c>
      <c r="P140" s="16">
        <v>46063</v>
      </c>
      <c r="Q140" s="14" t="s">
        <v>58</v>
      </c>
      <c r="R140" s="28" t="b">
        <v>1</v>
      </c>
    </row>
  </sheetData>
  <mergeCells count="37">
    <mergeCell ref="A129:AA129"/>
    <mergeCell ref="H122:J122"/>
    <mergeCell ref="L122:N122"/>
    <mergeCell ref="A136:C136"/>
    <mergeCell ref="E136:G136"/>
    <mergeCell ref="I136:L136"/>
    <mergeCell ref="N136:R136"/>
    <mergeCell ref="M26:P26"/>
    <mergeCell ref="A122:F122"/>
    <mergeCell ref="A108:E108"/>
    <mergeCell ref="A94:N94"/>
    <mergeCell ref="A80:L80"/>
    <mergeCell ref="A101:I101"/>
    <mergeCell ref="A87:B87"/>
    <mergeCell ref="D87:F87"/>
    <mergeCell ref="H87:L87"/>
    <mergeCell ref="A115:N115"/>
    <mergeCell ref="F47:M47"/>
    <mergeCell ref="A47:D47"/>
    <mergeCell ref="A54:I54"/>
    <mergeCell ref="A40:F40"/>
    <mergeCell ref="H40:M40"/>
    <mergeCell ref="I5:K5"/>
    <mergeCell ref="A5:G5"/>
    <mergeCell ref="A26:G26"/>
    <mergeCell ref="F19:L19"/>
    <mergeCell ref="G12:K12"/>
    <mergeCell ref="I26:K26"/>
    <mergeCell ref="A61:E61"/>
    <mergeCell ref="G61:K61"/>
    <mergeCell ref="A68:E68"/>
    <mergeCell ref="A75:J75"/>
    <mergeCell ref="M12:P12"/>
    <mergeCell ref="A19:D19"/>
    <mergeCell ref="A12:E12"/>
    <mergeCell ref="A33:I33"/>
    <mergeCell ref="K33:N33"/>
  </mergeCells>
  <phoneticPr fontId="2" type="noConversion"/>
  <pageMargins left="0.7" right="0.7" top="0.75" bottom="0.75" header="0.3" footer="0.3"/>
  <pageSetup paperSize="9" orientation="portrait" r:id="rId1"/>
  <legacyDrawing r:id="rId2"/>
  <tableParts count="3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8F35-A355-471A-8471-9A564A7FDE13}">
  <dimension ref="A1"/>
  <sheetViews>
    <sheetView workbookViewId="0">
      <selection activeCell="E18" sqref="E1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Clingo</dc:creator>
  <cp:lastModifiedBy>Fernando Clingo</cp:lastModifiedBy>
  <dcterms:created xsi:type="dcterms:W3CDTF">2026-01-05T20:48:46Z</dcterms:created>
  <dcterms:modified xsi:type="dcterms:W3CDTF">2026-05-10T17:13:17Z</dcterms:modified>
</cp:coreProperties>
</file>
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oyectos\Web_Andez\"/>
    </mc:Choice>
  </mc:AlternateContent>
  <xr:revisionPtr revIDLastSave="0" documentId="13_ncr:1_{282749E7-1692-4B25-97CC-07510F2A1017}" xr6:coauthVersionLast="47" xr6:coauthVersionMax="47" xr10:uidLastSave="{00000000-0000-0000-0000-000000000000}"/>
  <bookViews>
    <workbookView xWindow="-108" yWindow="-108" windowWidth="23256" windowHeight="12456" xr2:uid="{5D42B345-DB14-48C1-9A38-23908D3120ED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4" i="1" l="1"/>
  <c r="C65" i="1"/>
  <c r="C63" i="1"/>
  <c r="D8" i="1" l="1"/>
  <c r="D9" i="1"/>
  <c r="D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Andez A</author>
  </authors>
  <commentList>
    <comment ref="E28" authorId="0" shapeId="0" xr:uid="{FE58B689-6AA9-4115-A716-18151463D7ED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frase institucional de cada línea</t>
        </r>
      </text>
    </comment>
    <comment ref="H35" authorId="0" shapeId="0" xr:uid="{B1807605-078F-4B9A-900E-954162BCAC7F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Es la imagen que se va a mostrar en las tarjetas Bimando, Accesorios, Monocomando… etc</t>
        </r>
      </text>
    </comment>
    <comment ref="H40" authorId="0" shapeId="0" xr:uid="{8069DE5D-2A90-49BA-BED7-16996BA43122}">
      <text>
        <r>
          <rPr>
            <b/>
            <sz val="9"/>
            <color indexed="81"/>
            <rFont val="Tahoma"/>
            <charset val="1"/>
          </rPr>
          <t>Andez A:</t>
        </r>
        <r>
          <rPr>
            <sz val="9"/>
            <color indexed="81"/>
            <rFont val="Tahoma"/>
            <charset val="1"/>
          </rPr>
          <t xml:space="preserve">
Imágenes para usar en página Estilos</t>
        </r>
      </text>
    </comment>
  </commentList>
</comments>
</file>

<file path=xl/sharedStrings.xml><?xml version="1.0" encoding="utf-8"?>
<sst xmlns="http://schemas.openxmlformats.org/spreadsheetml/2006/main" count="250" uniqueCount="143">
  <si>
    <t>Color</t>
  </si>
  <si>
    <t>ID</t>
  </si>
  <si>
    <t>NombreColor</t>
  </si>
  <si>
    <t>Activo</t>
  </si>
  <si>
    <t>Cromo</t>
  </si>
  <si>
    <t>Negro</t>
  </si>
  <si>
    <t>Bronce Viejo</t>
  </si>
  <si>
    <t>Linea</t>
  </si>
  <si>
    <t>NombreLinea</t>
  </si>
  <si>
    <t>CodigoLinea</t>
  </si>
  <si>
    <t>URLColor</t>
  </si>
  <si>
    <t>www</t>
  </si>
  <si>
    <t>Atribitos</t>
  </si>
  <si>
    <t>URLIcono</t>
  </si>
  <si>
    <t>NombreAtributo</t>
  </si>
  <si>
    <t>Facil instalacion</t>
  </si>
  <si>
    <t>100% metalico</t>
  </si>
  <si>
    <t>Antimovimiento</t>
  </si>
  <si>
    <t>Articulo</t>
  </si>
  <si>
    <t>CodigoArticulo</t>
  </si>
  <si>
    <t>NombreArticulo</t>
  </si>
  <si>
    <t>Bidet</t>
  </si>
  <si>
    <t>Llave de paso</t>
  </si>
  <si>
    <t>Lavatorio de apoyo</t>
  </si>
  <si>
    <t>CodigoColor</t>
  </si>
  <si>
    <t>04</t>
  </si>
  <si>
    <t>07</t>
  </si>
  <si>
    <t>05</t>
  </si>
  <si>
    <t>IDLinea</t>
  </si>
  <si>
    <t>IDArticulo</t>
  </si>
  <si>
    <t>URLManual</t>
  </si>
  <si>
    <t>URLRepuestos</t>
  </si>
  <si>
    <t>IdLinea</t>
  </si>
  <si>
    <t>IdArticulo</t>
  </si>
  <si>
    <t>Catagolos</t>
  </si>
  <si>
    <t>URLCatalogo</t>
  </si>
  <si>
    <t>Usuarios</t>
  </si>
  <si>
    <t>Nombre</t>
  </si>
  <si>
    <t>Apellido</t>
  </si>
  <si>
    <t>Mail</t>
  </si>
  <si>
    <t>Fernando</t>
  </si>
  <si>
    <t>Clingo</t>
  </si>
  <si>
    <t>Lucas</t>
  </si>
  <si>
    <t>Adler</t>
  </si>
  <si>
    <t>Analia</t>
  </si>
  <si>
    <t>Petroco</t>
  </si>
  <si>
    <t>Pass</t>
  </si>
  <si>
    <t>Rol</t>
  </si>
  <si>
    <t>Master</t>
  </si>
  <si>
    <t>Postventa</t>
  </si>
  <si>
    <t>Marketing</t>
  </si>
  <si>
    <t>NombreRol</t>
  </si>
  <si>
    <t>pass1</t>
  </si>
  <si>
    <t>pass2</t>
  </si>
  <si>
    <t>pass3</t>
  </si>
  <si>
    <t>Producto</t>
  </si>
  <si>
    <t>IdColor</t>
  </si>
  <si>
    <t>Descripcion</t>
  </si>
  <si>
    <t>Lorem ipsum dolor sit amet</t>
  </si>
  <si>
    <t>TipoProducto</t>
  </si>
  <si>
    <t>Tipo</t>
  </si>
  <si>
    <t>Bimando</t>
  </si>
  <si>
    <t>Monocomando</t>
  </si>
  <si>
    <t>Accesorio</t>
  </si>
  <si>
    <t>IdTipoProducto</t>
  </si>
  <si>
    <t>URLImagenSinFondo</t>
  </si>
  <si>
    <t>URLPortadaCatalogo</t>
  </si>
  <si>
    <t>Pais</t>
  </si>
  <si>
    <t>Paises</t>
  </si>
  <si>
    <t>Argentina</t>
  </si>
  <si>
    <t>Uruguay</t>
  </si>
  <si>
    <t>Paraguay</t>
  </si>
  <si>
    <t>Provincias</t>
  </si>
  <si>
    <t>Pronvincia</t>
  </si>
  <si>
    <t>IdPais</t>
  </si>
  <si>
    <t>Latitud</t>
  </si>
  <si>
    <t>Longitud</t>
  </si>
  <si>
    <t>Zoom</t>
  </si>
  <si>
    <t>Capital Federal</t>
  </si>
  <si>
    <t>Buenos Aires</t>
  </si>
  <si>
    <t>-34.6037</t>
  </si>
  <si>
    <t>-36.6769</t>
  </si>
  <si>
    <t>-43.2934</t>
  </si>
  <si>
    <t>PaginaDistribuidores</t>
  </si>
  <si>
    <t>URLPaginaDistribuidor</t>
  </si>
  <si>
    <t>URLLogo</t>
  </si>
  <si>
    <t>Distribuidores</t>
  </si>
  <si>
    <t>RazonSocial</t>
  </si>
  <si>
    <t>Direccion</t>
  </si>
  <si>
    <t>IdProvincia</t>
  </si>
  <si>
    <t>Telefono</t>
  </si>
  <si>
    <t>IdPagina</t>
  </si>
  <si>
    <t>Domus</t>
  </si>
  <si>
    <t>Blaisten Martinez</t>
  </si>
  <si>
    <t>Blaisten Palermo</t>
  </si>
  <si>
    <t>www.blaisten.com</t>
  </si>
  <si>
    <t>www.domus.com</t>
  </si>
  <si>
    <t>www.fedan.com</t>
  </si>
  <si>
    <t>Santa Fe</t>
  </si>
  <si>
    <t>5555-4554</t>
  </si>
  <si>
    <t>6556-1122</t>
  </si>
  <si>
    <t>4454-1222</t>
  </si>
  <si>
    <t>San Martin 1150</t>
  </si>
  <si>
    <t>Belgrano 5487</t>
  </si>
  <si>
    <t>Zapiola 987</t>
  </si>
  <si>
    <t>Borrar</t>
  </si>
  <si>
    <t>Agregar</t>
  </si>
  <si>
    <t>Hecho</t>
  </si>
  <si>
    <t>URLPlanos</t>
  </si>
  <si>
    <t>ManualInstalacion_Repuestos_Planos</t>
  </si>
  <si>
    <t>Match</t>
  </si>
  <si>
    <t>Giraffe</t>
  </si>
  <si>
    <t>Jazz</t>
  </si>
  <si>
    <t>AtributosPorProductos</t>
  </si>
  <si>
    <t>IDProducto</t>
  </si>
  <si>
    <t>IDAtributo</t>
  </si>
  <si>
    <t>EsPortada</t>
  </si>
  <si>
    <t>ImagenesAmbientaciones</t>
  </si>
  <si>
    <t>IdProducto</t>
  </si>
  <si>
    <t>Titulo</t>
  </si>
  <si>
    <t>URLImagen</t>
  </si>
  <si>
    <t>Lavatorio Match primer plano</t>
  </si>
  <si>
    <t>Lavatorio Match plano abierto</t>
  </si>
  <si>
    <t>Bidet Match baño calacata</t>
  </si>
  <si>
    <t>InfoInstitucional_Mails</t>
  </si>
  <si>
    <t>Compras</t>
  </si>
  <si>
    <t>RRHH</t>
  </si>
  <si>
    <t>Ventas</t>
  </si>
  <si>
    <t>InfoInstitucional_Telefonos</t>
  </si>
  <si>
    <t>Linea 1</t>
  </si>
  <si>
    <t>Linea 2</t>
  </si>
  <si>
    <t>Celular</t>
  </si>
  <si>
    <t>InfoInstitucional_Redes</t>
  </si>
  <si>
    <t>Red</t>
  </si>
  <si>
    <t>URLRed</t>
  </si>
  <si>
    <t>X</t>
  </si>
  <si>
    <t>Youtube</t>
  </si>
  <si>
    <t>Facebook</t>
  </si>
  <si>
    <t>InfoInstitucional_Empresa</t>
  </si>
  <si>
    <t>Historia</t>
  </si>
  <si>
    <t>Mision</t>
  </si>
  <si>
    <t>Vision</t>
  </si>
  <si>
    <t>FraseInstitucionalLinea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</si>
</sst>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49" fontId="0" fillId="0" borderId="0" xfId="0" applyNumberFormat="1"/>
    <xf numFmtId="49" fontId="0" fillId="0" borderId="7" xfId="0" applyNumberFormat="1" applyBorder="1"/>
    <xf numFmtId="0" fontId="0" fillId="2" borderId="5" xfId="0" applyFill="1" applyBorder="1"/>
    <xf numFmtId="0" fontId="0" fillId="2" borderId="8" xfId="0" applyFill="1" applyBorder="1"/>
    <xf numFmtId="0" fontId="0" fillId="4" borderId="0" xfId="0" applyFill="1"/>
    <xf numFmtId="0" fontId="0" fillId="5" borderId="0" xfId="0" applyFill="1"/>
    <xf numFmtId="0" fontId="0" fillId="3" borderId="0" xfId="0" applyFill="1"/>
    <xf numFmtId="0" fontId="0" fillId="4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0" fillId="4" borderId="8" xfId="0" applyFill="1" applyBorder="1"/>
    <xf numFmtId="0" fontId="1" fillId="4" borderId="5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border outline="0">
        <right style="medium">
          <color indexed="64"/>
        </right>
      </border>
    </dxf>
    <dxf>
      <fill>
        <patternFill>
          <fgColor indexed="64"/>
          <bgColor theme="9"/>
        </patternFill>
      </fill>
    </dxf>
    <dxf>
      <fill>
        <patternFill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fill>
        <patternFill patternType="solid">
          <fgColor indexed="64"/>
          <bgColor theme="9"/>
        </patternFill>
      </fill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fill>
        <patternFill patternType="none">
          <fgColor indexed="64"/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30" formatCode="@"/>
    </dxf>
    <dxf>
      <numFmt numFmtId="30" formatCode="@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0" tint="-0.14999847407452621"/>
          <bgColor theme="0" tint="-0.14999847407452621"/>
        </patternFill>
      </fill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6833EF-4E6F-4FA0-A7A0-6E6817E2B38A}" name="Tabla1" displayName="Tabla1" ref="A13:E16" totalsRowShown="0">
  <autoFilter ref="A13:E16" xr:uid="{D96833EF-4E6F-4FA0-A7A0-6E6817E2B38A}"/>
  <tableColumns count="5">
    <tableColumn id="1" xr3:uid="{317907DD-843B-4FA4-8837-A0A78A4A0507}" name="ID"/>
    <tableColumn id="5" xr3:uid="{E0921BEC-D870-4C51-B3FC-23E013804DC3}" name="CodigoColor" dataDxfId="46"/>
    <tableColumn id="2" xr3:uid="{8053C3DC-ACA4-4AAB-9AFB-34FBDDEBC52B}" name="NombreColor"/>
    <tableColumn id="4" xr3:uid="{1D3A10F0-E8C4-471A-B4A8-2001816AFFF2}" name="URLColor"/>
    <tableColumn id="3" xr3:uid="{D04813E9-6E48-439B-A711-735DEB41533C}" name="Activ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C307171-21C3-4D19-9190-21EBBEF7C7BE}" name="Tabla13" displayName="Tabla13" ref="G13:J16" totalsRowShown="0">
  <autoFilter ref="G13:J16" xr:uid="{5C307171-21C3-4D19-9190-21EBBEF7C7BE}"/>
  <tableColumns count="4">
    <tableColumn id="1" xr3:uid="{68AE05C3-BABF-43F5-8570-0421BA4C67E8}" name="ID"/>
    <tableColumn id="4" xr3:uid="{59F766FF-BD10-4A8B-9F9F-31F1C7687013}" name="CodigoLinea"/>
    <tableColumn id="2" xr3:uid="{6F05575C-428D-4038-A5FF-312E257A42E9}" name="NombreLinea"/>
    <tableColumn id="3" xr3:uid="{B831A1C2-04F5-4FEF-939E-BB8F988F8105}" name="Activo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3BE8E47-D1D9-436F-87A2-5F1A6301B5E5}" name="Tabla14" displayName="Tabla14" ref="L13:O16" totalsRowShown="0">
  <autoFilter ref="L13:O16" xr:uid="{43BE8E47-D1D9-436F-87A2-5F1A6301B5E5}"/>
  <tableColumns count="4">
    <tableColumn id="1" xr3:uid="{1CA967F6-5220-415A-8D46-EDE2F99DB4E7}" name="ID"/>
    <tableColumn id="2" xr3:uid="{85968E26-C5C2-48F7-940F-A91CDCD7A74E}" name="NombreAtributo"/>
    <tableColumn id="4" xr3:uid="{C4964F78-D309-4AE6-B95D-45255CE7F137}" name="URLIcono"/>
    <tableColumn id="3" xr3:uid="{2A6901F1-A742-463F-9839-9AF01406419A}" name="Activ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93F9B0B-4EAC-4696-9C48-7CF3279FF43E}" name="Tabla136" displayName="Tabla136" ref="A20:D23" totalsRowShown="0">
  <autoFilter ref="A20:D23" xr:uid="{E93F9B0B-4EAC-4696-9C48-7CF3279FF43E}"/>
  <tableColumns count="4">
    <tableColumn id="1" xr3:uid="{B247D060-56D9-4D4D-BC13-0360ED25350B}" name="ID"/>
    <tableColumn id="4" xr3:uid="{1474AB8E-E5FE-4771-8CC8-E20C35E99A31}" name="CodigoArticulo"/>
    <tableColumn id="2" xr3:uid="{B62CA844-EA2B-45F2-81DE-0E4DA97CAB0C}" name="NombreArticulo"/>
    <tableColumn id="3" xr3:uid="{5E578CC4-F599-429C-83E0-503501B7A644}" name="Activ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7C16AE-1BA5-492E-ADA8-1AF74DE3B1D8}" name="Tabla6" displayName="Tabla6" ref="F20:L23" totalsRowShown="0">
  <autoFilter ref="F20:L23" xr:uid="{917C16AE-1BA5-492E-ADA8-1AF74DE3B1D8}"/>
  <tableColumns count="7">
    <tableColumn id="1" xr3:uid="{2465B3C3-AF86-439D-9B32-59BFDC73E6B7}" name="ID"/>
    <tableColumn id="2" xr3:uid="{A9F2D02E-9CE3-4EB1-8991-D57071D10D31}" name="IDLinea"/>
    <tableColumn id="3" xr3:uid="{3CBF8077-7A4D-4703-9A5E-186FFA3C80B6}" name="IDArticulo"/>
    <tableColumn id="4" xr3:uid="{33CF0639-7E0E-4323-ABAC-57E9E79BAC94}" name="URLManual"/>
    <tableColumn id="6" xr3:uid="{8FB3C041-5F4E-4C6B-BFEA-F7EF8CCA380F}" name="URLRepuestos"/>
    <tableColumn id="7" xr3:uid="{19883A37-D7EF-411E-B5D4-0F9C58EA4DF5}" name="URLPlanos"/>
    <tableColumn id="5" xr3:uid="{9FBFC04D-E638-4A8E-BF60-60BF85B463B6}" name="Activ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44C573D-2F54-4371-9E05-AC6C5BF3DEB9}" name="Tabla9" displayName="Tabla9" ref="A27:G30" totalsRowShown="0">
  <autoFilter ref="A27:G30" xr:uid="{444C573D-2F54-4371-9E05-AC6C5BF3DEB9}"/>
  <tableColumns count="7">
    <tableColumn id="1" xr3:uid="{F76EC170-46E9-4663-A823-2D12555F5929}" name="ID"/>
    <tableColumn id="2" xr3:uid="{AF8AF063-458B-4011-935C-9BE59CDAC049}" name="IdLinea"/>
    <tableColumn id="7" xr3:uid="{7CB1A4AD-75EA-4DBB-9D7F-D5EB918E41E7}" name="IdTipoProducto"/>
    <tableColumn id="6" xr3:uid="{11F640C2-28CC-4C58-B92E-E1FC7591679B}" name="URLPortadaCatalogo"/>
    <tableColumn id="5" xr3:uid="{D8C12DE8-A0F0-4EA8-A39E-AF452068F835}" name="FraseInstitucionalLinea"/>
    <tableColumn id="3" xr3:uid="{6E18E1E2-D428-4B63-BF66-7CD91872A457}" name="URLCatalogo"/>
    <tableColumn id="4" xr3:uid="{F759632D-1FAF-4E10-B366-974627C36691}" name="Activo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F67F5D-77F7-41B7-A265-5E336044A6C5}" name="Tabla15" displayName="Tabla15" ref="A6:G9" totalsRowShown="0">
  <autoFilter ref="A6:G9" xr:uid="{00F67F5D-77F7-41B7-A265-5E336044A6C5}"/>
  <tableColumns count="7">
    <tableColumn id="1" xr3:uid="{F32EBD58-4145-475F-A8DD-60533C773560}" name="ID"/>
    <tableColumn id="5" xr3:uid="{BA938A3C-223C-48BE-9D99-D519D9B88EDF}" name="Nombre" dataDxfId="44"/>
    <tableColumn id="2" xr3:uid="{BF58FE61-5919-4F9C-BC69-7F6F4B0BCCB1}" name="Apellido"/>
    <tableColumn id="4" xr3:uid="{B217BF12-7466-47C6-83EC-0600B0F7EE4B}" name="Mail">
      <calculatedColumnFormula>CONCATENATE(Tabla15[[#This Row],[Nombre]],Tabla15[[#This Row],[Apellido]],"@andez.com.ar")</calculatedColumnFormula>
    </tableColumn>
    <tableColumn id="7" xr3:uid="{E6685580-108B-41B0-8A5A-4C86196B0BE1}" name="Pass"/>
    <tableColumn id="6" xr3:uid="{E75EBA41-FF6A-4A2A-BCBE-F5043BE4BB25}" name="Rol"/>
    <tableColumn id="3" xr3:uid="{4CBF3E4F-4092-4764-8AB5-1C537D572D44}" name="Activo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102B214-F2E2-4E21-B4A5-0BA8B382E09A}" name="Tabla1311" displayName="Tabla1311" ref="I6:K9" totalsRowShown="0">
  <autoFilter ref="I6:K9" xr:uid="{2102B214-F2E2-4E21-B4A5-0BA8B382E09A}"/>
  <tableColumns count="3">
    <tableColumn id="1" xr3:uid="{178377D0-D1D1-4F7B-AB43-13C5F237945D}" name="ID"/>
    <tableColumn id="2" xr3:uid="{08858ABF-8A7D-4B96-9D72-835B85CC5E74}" name="NombreRol"/>
    <tableColumn id="3" xr3:uid="{EE3DFDEC-9C62-498D-8488-7722C3BC5547}" name="Activ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6B3327E-5FDA-4BB7-AACF-FABE81E48666}" name="Tabla11" displayName="Tabla11" ref="I27:K30" totalsRowShown="0">
  <autoFilter ref="I27:K30" xr:uid="{F6B3327E-5FDA-4BB7-AACF-FABE81E48666}"/>
  <tableColumns count="3">
    <tableColumn id="1" xr3:uid="{26F76265-568B-4A28-AA28-6DA1CF7F5397}" name="ID"/>
    <tableColumn id="2" xr3:uid="{A81F65B5-D9C2-4F7A-9651-B297627921BE}" name="Tipo"/>
    <tableColumn id="3" xr3:uid="{6BF61F58-B964-4C51-B2A6-1D6E99603A94}" name="Activo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948E125-4D16-4012-9F79-63437C954797}" name="Tabla12" displayName="Tabla12" ref="A34:I37" totalsRowShown="0">
  <autoFilter ref="A34:I37" xr:uid="{C948E125-4D16-4012-9F79-63437C954797}"/>
  <tableColumns count="9">
    <tableColumn id="1" xr3:uid="{BD0E8C6A-3C45-49E2-AB49-91B099BD2122}" name="ID"/>
    <tableColumn id="2" xr3:uid="{E5890F45-7791-44F9-8046-3CC124D03A32}" name="IdLinea"/>
    <tableColumn id="3" xr3:uid="{516F3A39-1E5C-4E02-A2AD-8F0BBB41EB3A}" name="IdArticulo"/>
    <tableColumn id="5" xr3:uid="{87C9AA3F-6BA4-4E22-8E82-15E97E6D50FC}" name="Descripcion"/>
    <tableColumn id="6" xr3:uid="{C06ABFA7-CFE1-4192-B78E-76126E924EE2}" name="IdColor"/>
    <tableColumn id="7" xr3:uid="{8A3460C8-C859-46D9-A894-FAAD27C5355E}" name="IdTipoProducto"/>
    <tableColumn id="8" xr3:uid="{BEF156AE-3159-4D3E-89DC-BAEE08FD8A77}" name="URLImagenSinFondo"/>
    <tableColumn id="11" xr3:uid="{4A9DC7A9-BEBE-470B-9DF5-8B0A963D4E42}" name="EsPortada"/>
    <tableColumn id="9" xr3:uid="{861CF468-6400-4AEF-A8D2-F55987D2F232}" name="Activo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1CB6618-AB30-4CE3-B30A-6938E6F1145F}" name="Tabla16" displayName="Tabla16" ref="A41:F44" totalsRowShown="0">
  <autoFilter ref="A41:F44" xr:uid="{81CB6618-AB30-4CE3-B30A-6938E6F1145F}"/>
  <tableColumns count="6">
    <tableColumn id="1" xr3:uid="{C6605137-9E60-4417-BE9D-22DF41FEA57D}" name="ID"/>
    <tableColumn id="2" xr3:uid="{D82CDF84-BD14-4C63-ABBA-8F2236A9C0E4}" name="Pais"/>
    <tableColumn id="3" xr3:uid="{FA78D055-E341-4362-A23A-0CCFC591E8FA}" name="Latitud" dataDxfId="43"/>
    <tableColumn id="4" xr3:uid="{36EB177E-ACE1-4B78-A56A-A9F891312B25}" name="Longitud" dataDxfId="42"/>
    <tableColumn id="5" xr3:uid="{4122267C-292B-476B-8AB1-41CBE8A90AAF}" name="Zoom"/>
    <tableColumn id="7" xr3:uid="{0270C110-04E9-4179-AF06-958CA4E37E9B}" name="Activo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EF32F6B3-AC45-462F-BE18-EFE2DD57FE9B}" name="Tabla17" displayName="Tabla17" ref="H41:L44" totalsRowShown="0" headerRowDxfId="41" dataDxfId="40">
  <autoFilter ref="H41:L44" xr:uid="{EF32F6B3-AC45-462F-BE18-EFE2DD57FE9B}"/>
  <tableColumns count="5">
    <tableColumn id="1" xr3:uid="{C8F6ED57-5FD2-4FB3-A4A5-BC3965E98B15}" name="ID" dataDxfId="39"/>
    <tableColumn id="2" xr3:uid="{65B99387-EDCD-429B-B81B-A4F58479A304}" name="IdProducto" dataDxfId="38"/>
    <tableColumn id="3" xr3:uid="{5D9C0348-2DF4-47CC-977C-AAFB9F19E959}" name="Titulo" dataDxfId="37"/>
    <tableColumn id="4" xr3:uid="{1CACB54F-DC9D-41AC-A04F-171EF34060DC}" name="URLImagen" dataDxfId="36"/>
    <tableColumn id="7" xr3:uid="{824500A6-D872-42FD-9C38-60CB54869E2F}" name="Activo" dataDxfId="35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A76B83A-5CAA-44B8-B4B3-ACD657CD503E}" name="Tabla1617" displayName="Tabla1617" ref="A48:D51" totalsRowShown="0">
  <autoFilter ref="A48:D51" xr:uid="{3A76B83A-5CAA-44B8-B4B3-ACD657CD503E}"/>
  <tableColumns count="4">
    <tableColumn id="1" xr3:uid="{D7179099-54E6-49F3-8F59-442A5D0581CB}" name="ID"/>
    <tableColumn id="2" xr3:uid="{5E47EA42-619C-4E41-8AB4-D27AE93B62D5}" name="URLPaginaDistribuidor"/>
    <tableColumn id="3" xr3:uid="{3DD61CD5-6488-41C7-BB9A-29A78F1DDB38}" name="URLLogo"/>
    <tableColumn id="7" xr3:uid="{B1D0386F-1AF3-4032-898D-2999B1416A75}" name="Activo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4F87D6B-7A82-4430-960F-AC240B40C11C}" name="Tabla18" displayName="Tabla18" ref="A55:I58" totalsRowShown="0">
  <autoFilter ref="A55:I58" xr:uid="{04F87D6B-7A82-4430-960F-AC240B40C11C}"/>
  <tableColumns count="9">
    <tableColumn id="1" xr3:uid="{C437CB56-2117-4AF6-83DD-535B7DF46C17}" name="ID"/>
    <tableColumn id="2" xr3:uid="{6C22825E-C1CE-4586-81A5-E8191FE46EFB}" name="RazonSocial"/>
    <tableColumn id="3" xr3:uid="{650899D4-4E19-437F-9FCF-B4D26F2AA0DB}" name="Direccion"/>
    <tableColumn id="4" xr3:uid="{1E07E83B-09DC-40FD-907E-40F4CBC0A570}" name="IdProvincia"/>
    <tableColumn id="5" xr3:uid="{6138418F-A367-4A68-8F05-2638E82A22BC}" name="Telefono"/>
    <tableColumn id="6" xr3:uid="{80260CDA-43B3-49C5-B2E8-6D4D4EE4367B}" name="Latitud" dataDxfId="34"/>
    <tableColumn id="7" xr3:uid="{D1025C6A-57D3-4E57-916D-CF79774C6EAF}" name="Longitud" dataDxfId="33"/>
    <tableColumn id="8" xr3:uid="{FACFCBBE-C8C5-4011-911D-7F4D64577C47}" name="IdPagina"/>
    <tableColumn id="9" xr3:uid="{3EE8280A-E1AE-43CB-8AA3-681D1032743D}" name="Activo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6BCDECB-3201-4C98-AA8D-79812894A18B}" name="Tabla19" displayName="Tabla19" ref="K34:N37" totalsRowShown="0" headerRowDxfId="32" dataDxfId="31">
  <autoFilter ref="K34:N37" xr:uid="{36798AE9-B843-4477-9F23-32045BDEF7D7}"/>
  <tableColumns count="4">
    <tableColumn id="1" xr3:uid="{E050CEA3-2793-4698-9E45-C3447ADCD555}" name="ID" dataDxfId="30"/>
    <tableColumn id="2" xr3:uid="{03295AE7-34B5-4134-9D2F-2268D15B310C}" name="IDProducto" dataDxfId="29"/>
    <tableColumn id="3" xr3:uid="{1564E106-D50F-4573-A696-EE197325F0F3}" name="IDAtributo" dataDxfId="28"/>
    <tableColumn id="4" xr3:uid="{5F701778-C720-415C-9979-8380EB9AB80C}" name="Activo" dataDxfId="27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637683B-2521-4501-AE41-E6F0058D9D80}" name="Tabla1719" displayName="Tabla1719" ref="F48:L51" totalsRowShown="0">
  <autoFilter ref="F48:L51" xr:uid="{05CA7051-E28E-4B32-9032-EE45922419A6}"/>
  <tableColumns count="7">
    <tableColumn id="1" xr3:uid="{76441B91-C9F3-418E-9F7A-2145EC66A51B}" name="ID"/>
    <tableColumn id="2" xr3:uid="{B7D7EADF-0604-4B90-A7CA-6537AE39152D}" name="Pronvincia"/>
    <tableColumn id="3" xr3:uid="{FBCCEEC7-DBEE-4480-8CBE-1F5805CA9202}" name="IdPais"/>
    <tableColumn id="4" xr3:uid="{0A3D75EA-6C18-48E0-9489-C5D19B3AC70A}" name="Latitud" dataDxfId="26"/>
    <tableColumn id="5" xr3:uid="{ACBD9873-D350-427F-993B-2B1B42296D9B}" name="Longitud" dataDxfId="25"/>
    <tableColumn id="6" xr3:uid="{957CA68C-6225-4C37-B8D5-8FF8C064FB1C}" name="Zoom"/>
    <tableColumn id="7" xr3:uid="{D19F9B22-3CC1-4E0E-B3DB-56D9B346F0CD}" name="Activo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66B8F6B-A06F-42EB-B1CE-F5AC470DCC17}" name="Tabla20" displayName="Tabla20" ref="A62:D65" totalsRowShown="0" headerRowDxfId="24" dataDxfId="23">
  <autoFilter ref="A62:D65" xr:uid="{6995137C-E78D-4F26-A126-F3AEFE2A2B13}"/>
  <tableColumns count="4">
    <tableColumn id="1" xr3:uid="{7C1F763D-9A29-4F91-BB26-5F2CF68260F0}" name="ID" dataDxfId="22"/>
    <tableColumn id="2" xr3:uid="{98E75056-4A9A-4C56-8FA5-EFD4D867777B}" name="Nombre" dataDxfId="21"/>
    <tableColumn id="3" xr3:uid="{48A2AE2B-7A42-420C-8BB3-5F9F2AA01721}" name="Mail" dataDxfId="20">
      <calculatedColumnFormula>CONCATENATE(B63,"@andez.com.ar")</calculatedColumnFormula>
    </tableColumn>
    <tableColumn id="4" xr3:uid="{31D99612-66DC-4B54-A747-6C39765D7B66}" name="Activo" dataDxfId="19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B2EAABA-4403-411A-98F0-A8284D43302C}" name="Tabla2021" displayName="Tabla2021" ref="F62:I65" totalsRowShown="0" headerRowDxfId="18" dataDxfId="17">
  <autoFilter ref="F62:I65" xr:uid="{89087EED-CE2D-441A-9746-B0BA56EA9A63}"/>
  <tableColumns count="4">
    <tableColumn id="1" xr3:uid="{6D3F8F4E-2473-4BE6-A51E-C3C3E4C26133}" name="ID" dataDxfId="16"/>
    <tableColumn id="2" xr3:uid="{12B007DF-889A-4CDB-93CC-EBEFCBD3A3E9}" name="Nombre" dataDxfId="15"/>
    <tableColumn id="3" xr3:uid="{A94B5F86-8442-44DD-9C03-77F51D7F5B8D}" name="Telefono" dataDxfId="14">
      <calculatedColumnFormula>CONCATENATE(G63,"@andez.com.ar")</calculatedColumnFormula>
    </tableColumn>
    <tableColumn id="4" xr3:uid="{0E412ADD-9FF3-43E1-BDA1-A917D6B1E4D7}" name="Activo" dataDxfId="13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8F3FF2B6-156D-475C-B60E-2BBAE1F181CE}" name="Tabla21" displayName="Tabla21" ref="A69:D72" totalsRowShown="0" headerRowDxfId="12" dataDxfId="11" tableBorderDxfId="10">
  <autoFilter ref="A69:D72" xr:uid="{58000D4A-AEBA-4D49-B463-180C8FD8A937}"/>
  <tableColumns count="4">
    <tableColumn id="1" xr3:uid="{E9F2D081-00F6-4B92-9DFE-6473CB6B3F38}" name="ID" dataDxfId="9"/>
    <tableColumn id="2" xr3:uid="{DE65DD1F-F1BA-4548-A19A-4B9DD2857A6F}" name="Red" dataDxfId="8"/>
    <tableColumn id="3" xr3:uid="{23F951D4-E519-45F7-81C5-69ED4EA385E4}" name="URLRed" dataDxfId="7"/>
    <tableColumn id="4" xr3:uid="{E5F1016C-C8F1-4FEA-B687-B57CB00F2E70}" name="Activo" dataDxfId="6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769ADF8-2405-479D-8112-7564F0940768}" name="Tabla22" displayName="Tabla22" ref="F69:I72" totalsRowShown="0" headerRowDxfId="5" dataDxfId="4">
  <autoFilter ref="F69:I72" xr:uid="{A2E83C68-75BA-4C98-B80E-E4E7E2B0B82C}"/>
  <tableColumns count="4">
    <tableColumn id="1" xr3:uid="{173EAAD2-F12F-4372-8FA2-00B32059C1EB}" name="ID" dataDxfId="3"/>
    <tableColumn id="2" xr3:uid="{3E7AAA46-3847-4587-A43F-E688C1582045}" name="Titulo" dataDxfId="2"/>
    <tableColumn id="4" xr3:uid="{7727AE8E-759C-4DE1-86AE-BDFED86835D0}" name="Descripcion" dataDxfId="1"/>
    <tableColumn id="3" xr3:uid="{2D33166C-2999-4BC9-8B00-7F06B4D84FF1}" name="Activ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13" Type="http://schemas.openxmlformats.org/officeDocument/2006/relationships/table" Target="../tables/table11.xml"/><Relationship Id="rId18" Type="http://schemas.openxmlformats.org/officeDocument/2006/relationships/table" Target="../tables/table16.xml"/><Relationship Id="rId3" Type="http://schemas.openxmlformats.org/officeDocument/2006/relationships/table" Target="../tables/table1.xml"/><Relationship Id="rId21" Type="http://schemas.openxmlformats.org/officeDocument/2006/relationships/table" Target="../tables/table19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17" Type="http://schemas.openxmlformats.org/officeDocument/2006/relationships/table" Target="../tables/table15.xml"/><Relationship Id="rId2" Type="http://schemas.openxmlformats.org/officeDocument/2006/relationships/vmlDrawing" Target="../drawings/vmlDrawing1.vml"/><Relationship Id="rId16" Type="http://schemas.openxmlformats.org/officeDocument/2006/relationships/table" Target="../tables/table14.xml"/><Relationship Id="rId20" Type="http://schemas.openxmlformats.org/officeDocument/2006/relationships/table" Target="../tables/table18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5" Type="http://schemas.openxmlformats.org/officeDocument/2006/relationships/table" Target="../tables/table13.xml"/><Relationship Id="rId23" Type="http://schemas.openxmlformats.org/officeDocument/2006/relationships/comments" Target="../comments1.xml"/><Relationship Id="rId10" Type="http://schemas.openxmlformats.org/officeDocument/2006/relationships/table" Target="../tables/table8.xml"/><Relationship Id="rId19" Type="http://schemas.openxmlformats.org/officeDocument/2006/relationships/table" Target="../tables/table17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Relationship Id="rId14" Type="http://schemas.openxmlformats.org/officeDocument/2006/relationships/table" Target="../tables/table12.xml"/><Relationship Id="rId22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50C1D-1850-4BF9-ABCF-FA1A23EC1542}">
  <dimension ref="A1:O72"/>
  <sheetViews>
    <sheetView tabSelected="1" topLeftCell="A3" zoomScale="70" zoomScaleNormal="70" workbookViewId="0">
      <selection activeCell="A40" sqref="A40:F40"/>
    </sheetView>
  </sheetViews>
  <sheetFormatPr baseColWidth="10" defaultRowHeight="14.4" x14ac:dyDescent="0.3"/>
  <cols>
    <col min="1" max="1" width="4.6640625" bestFit="1" customWidth="1"/>
    <col min="2" max="2" width="22.77734375" bestFit="1" customWidth="1"/>
    <col min="3" max="3" width="20.6640625" bestFit="1" customWidth="1"/>
    <col min="4" max="4" width="26.44140625" bestFit="1" customWidth="1"/>
    <col min="5" max="5" width="22.44140625" bestFit="1" customWidth="1"/>
    <col min="6" max="6" width="12.109375" bestFit="1" customWidth="1"/>
    <col min="7" max="7" width="16.21875" bestFit="1" customWidth="1"/>
    <col min="8" max="8" width="22.44140625" bestFit="1" customWidth="1"/>
    <col min="9" max="9" width="16.21875" bestFit="1" customWidth="1"/>
    <col min="10" max="10" width="24.77734375" bestFit="1" customWidth="1"/>
    <col min="11" max="11" width="22.44140625" bestFit="1" customWidth="1"/>
    <col min="12" max="12" width="14.33203125" bestFit="1" customWidth="1"/>
    <col min="13" max="13" width="16.88671875" bestFit="1" customWidth="1"/>
    <col min="14" max="14" width="11.6640625" bestFit="1" customWidth="1"/>
    <col min="15" max="15" width="12.109375" bestFit="1" customWidth="1"/>
    <col min="16" max="16" width="12.6640625" bestFit="1" customWidth="1"/>
    <col min="17" max="17" width="16" bestFit="1" customWidth="1"/>
    <col min="18" max="18" width="12.109375" bestFit="1" customWidth="1"/>
  </cols>
  <sheetData>
    <row r="1" spans="1:15" x14ac:dyDescent="0.3">
      <c r="B1" s="11" t="s">
        <v>105</v>
      </c>
      <c r="C1" s="10" t="s">
        <v>106</v>
      </c>
      <c r="D1" s="12" t="s">
        <v>107</v>
      </c>
    </row>
    <row r="4" spans="1:15" ht="15" thickBot="1" x14ac:dyDescent="0.35"/>
    <row r="5" spans="1:15" x14ac:dyDescent="0.3">
      <c r="A5" s="22" t="s">
        <v>36</v>
      </c>
      <c r="B5" s="23"/>
      <c r="C5" s="23"/>
      <c r="D5" s="23"/>
      <c r="E5" s="23"/>
      <c r="F5" s="23"/>
      <c r="G5" s="24"/>
      <c r="I5" s="22" t="s">
        <v>47</v>
      </c>
      <c r="J5" s="23"/>
      <c r="K5" s="24"/>
    </row>
    <row r="6" spans="1:15" x14ac:dyDescent="0.3">
      <c r="A6" s="1" t="s">
        <v>1</v>
      </c>
      <c r="B6" t="s">
        <v>37</v>
      </c>
      <c r="C6" t="s">
        <v>38</v>
      </c>
      <c r="D6" t="s">
        <v>39</v>
      </c>
      <c r="E6" t="s">
        <v>46</v>
      </c>
      <c r="F6" t="s">
        <v>47</v>
      </c>
      <c r="G6" s="2" t="s">
        <v>3</v>
      </c>
      <c r="I6" s="1" t="s">
        <v>1</v>
      </c>
      <c r="J6" t="s">
        <v>51</v>
      </c>
      <c r="K6" s="2" t="s">
        <v>3</v>
      </c>
    </row>
    <row r="7" spans="1:15" x14ac:dyDescent="0.3">
      <c r="A7" s="1">
        <v>1</v>
      </c>
      <c r="B7" s="6" t="s">
        <v>40</v>
      </c>
      <c r="C7" t="s">
        <v>41</v>
      </c>
      <c r="D7" t="str">
        <f>CONCATENATE(Tabla15[[#This Row],[Nombre]],Tabla15[[#This Row],[Apellido]],"@andez.com.ar")</f>
        <v>FernandoClingo@andez.com.ar</v>
      </c>
      <c r="E7" t="s">
        <v>52</v>
      </c>
      <c r="F7">
        <v>1</v>
      </c>
      <c r="G7" s="2" t="b">
        <v>1</v>
      </c>
      <c r="I7" s="1">
        <v>1</v>
      </c>
      <c r="J7" t="s">
        <v>48</v>
      </c>
      <c r="K7" s="2" t="b">
        <v>1</v>
      </c>
    </row>
    <row r="8" spans="1:15" x14ac:dyDescent="0.3">
      <c r="A8" s="1">
        <v>2</v>
      </c>
      <c r="B8" s="6" t="s">
        <v>42</v>
      </c>
      <c r="C8" t="s">
        <v>43</v>
      </c>
      <c r="D8" t="str">
        <f>CONCATENATE(Tabla15[[#This Row],[Nombre]],Tabla15[[#This Row],[Apellido]],"@andez.com.ar")</f>
        <v>LucasAdler@andez.com.ar</v>
      </c>
      <c r="E8" t="s">
        <v>53</v>
      </c>
      <c r="F8">
        <v>2</v>
      </c>
      <c r="G8" s="2" t="b">
        <v>1</v>
      </c>
      <c r="I8" s="1">
        <v>2</v>
      </c>
      <c r="J8" t="s">
        <v>49</v>
      </c>
      <c r="K8" s="2" t="b">
        <v>1</v>
      </c>
    </row>
    <row r="9" spans="1:15" ht="15" thickBot="1" x14ac:dyDescent="0.35">
      <c r="A9" s="3">
        <v>3</v>
      </c>
      <c r="B9" s="7" t="s">
        <v>44</v>
      </c>
      <c r="C9" s="4" t="s">
        <v>45</v>
      </c>
      <c r="D9" s="4" t="str">
        <f>CONCATENATE(Tabla15[[#This Row],[Nombre]],Tabla15[[#This Row],[Apellido]],"@andez.com.ar")</f>
        <v>AnaliaPetroco@andez.com.ar</v>
      </c>
      <c r="E9" s="4" t="s">
        <v>54</v>
      </c>
      <c r="F9" s="4">
        <v>3</v>
      </c>
      <c r="G9" s="5" t="b">
        <v>1</v>
      </c>
      <c r="I9" s="3">
        <v>3</v>
      </c>
      <c r="J9" s="4" t="s">
        <v>50</v>
      </c>
      <c r="K9" s="5" t="b">
        <v>1</v>
      </c>
    </row>
    <row r="11" spans="1:15" ht="15" thickBot="1" x14ac:dyDescent="0.35"/>
    <row r="12" spans="1:15" x14ac:dyDescent="0.3">
      <c r="A12" s="19" t="s">
        <v>0</v>
      </c>
      <c r="B12" s="20"/>
      <c r="C12" s="20"/>
      <c r="D12" s="20"/>
      <c r="E12" s="21"/>
      <c r="G12" s="19" t="s">
        <v>7</v>
      </c>
      <c r="H12" s="20"/>
      <c r="I12" s="20"/>
      <c r="J12" s="21"/>
      <c r="L12" s="19" t="s">
        <v>12</v>
      </c>
      <c r="M12" s="20"/>
      <c r="N12" s="20"/>
      <c r="O12" s="21"/>
    </row>
    <row r="13" spans="1:15" x14ac:dyDescent="0.3">
      <c r="A13" s="1" t="s">
        <v>1</v>
      </c>
      <c r="B13" t="s">
        <v>24</v>
      </c>
      <c r="C13" t="s">
        <v>2</v>
      </c>
      <c r="D13" t="s">
        <v>10</v>
      </c>
      <c r="E13" s="2" t="s">
        <v>3</v>
      </c>
      <c r="G13" s="1" t="s">
        <v>1</v>
      </c>
      <c r="H13" t="s">
        <v>9</v>
      </c>
      <c r="I13" t="s">
        <v>8</v>
      </c>
      <c r="J13" s="2" t="s">
        <v>3</v>
      </c>
      <c r="L13" s="1" t="s">
        <v>1</v>
      </c>
      <c r="M13" t="s">
        <v>14</v>
      </c>
      <c r="N13" t="s">
        <v>13</v>
      </c>
      <c r="O13" s="2" t="s">
        <v>3</v>
      </c>
    </row>
    <row r="14" spans="1:15" x14ac:dyDescent="0.3">
      <c r="A14" s="1">
        <v>1</v>
      </c>
      <c r="B14" s="6" t="s">
        <v>25</v>
      </c>
      <c r="C14" t="s">
        <v>4</v>
      </c>
      <c r="D14" t="s">
        <v>11</v>
      </c>
      <c r="E14" s="2" t="b">
        <v>1</v>
      </c>
      <c r="G14" s="1">
        <v>1</v>
      </c>
      <c r="H14">
        <v>19</v>
      </c>
      <c r="I14" t="s">
        <v>110</v>
      </c>
      <c r="J14" s="2" t="b">
        <v>1</v>
      </c>
      <c r="L14" s="1">
        <v>1</v>
      </c>
      <c r="M14" t="s">
        <v>15</v>
      </c>
      <c r="N14" t="s">
        <v>11</v>
      </c>
      <c r="O14" s="2" t="b">
        <v>1</v>
      </c>
    </row>
    <row r="15" spans="1:15" x14ac:dyDescent="0.3">
      <c r="A15" s="1">
        <v>2</v>
      </c>
      <c r="B15" s="6" t="s">
        <v>26</v>
      </c>
      <c r="C15" t="s">
        <v>5</v>
      </c>
      <c r="D15" t="s">
        <v>11</v>
      </c>
      <c r="E15" s="2" t="b">
        <v>1</v>
      </c>
      <c r="G15" s="1">
        <v>2</v>
      </c>
      <c r="H15">
        <v>22</v>
      </c>
      <c r="I15" t="s">
        <v>111</v>
      </c>
      <c r="J15" s="2" t="b">
        <v>1</v>
      </c>
      <c r="L15" s="1">
        <v>2</v>
      </c>
      <c r="M15" t="s">
        <v>16</v>
      </c>
      <c r="N15" t="s">
        <v>11</v>
      </c>
      <c r="O15" s="2" t="b">
        <v>1</v>
      </c>
    </row>
    <row r="16" spans="1:15" ht="15" thickBot="1" x14ac:dyDescent="0.35">
      <c r="A16" s="3">
        <v>3</v>
      </c>
      <c r="B16" s="7" t="s">
        <v>27</v>
      </c>
      <c r="C16" s="4" t="s">
        <v>6</v>
      </c>
      <c r="D16" s="4" t="s">
        <v>11</v>
      </c>
      <c r="E16" s="5" t="b">
        <v>1</v>
      </c>
      <c r="G16" s="3">
        <v>3</v>
      </c>
      <c r="H16" s="4">
        <v>20</v>
      </c>
      <c r="I16" s="4" t="s">
        <v>112</v>
      </c>
      <c r="J16" s="5" t="b">
        <v>0</v>
      </c>
      <c r="L16" s="3">
        <v>3</v>
      </c>
      <c r="M16" s="4" t="s">
        <v>17</v>
      </c>
      <c r="N16" s="4" t="s">
        <v>11</v>
      </c>
      <c r="O16" s="5" t="b">
        <v>1</v>
      </c>
    </row>
    <row r="18" spans="1:12" ht="15" thickBot="1" x14ac:dyDescent="0.35"/>
    <row r="19" spans="1:12" x14ac:dyDescent="0.3">
      <c r="A19" s="19" t="s">
        <v>18</v>
      </c>
      <c r="B19" s="20"/>
      <c r="C19" s="20"/>
      <c r="D19" s="21"/>
      <c r="F19" s="19" t="s">
        <v>109</v>
      </c>
      <c r="G19" s="20"/>
      <c r="H19" s="20"/>
      <c r="I19" s="20"/>
      <c r="J19" s="20"/>
      <c r="K19" s="20"/>
      <c r="L19" s="21"/>
    </row>
    <row r="20" spans="1:12" x14ac:dyDescent="0.3">
      <c r="A20" s="1" t="s">
        <v>1</v>
      </c>
      <c r="B20" t="s">
        <v>19</v>
      </c>
      <c r="C20" t="s">
        <v>20</v>
      </c>
      <c r="D20" s="2" t="s">
        <v>3</v>
      </c>
      <c r="F20" s="1" t="s">
        <v>1</v>
      </c>
      <c r="G20" t="s">
        <v>28</v>
      </c>
      <c r="H20" t="s">
        <v>29</v>
      </c>
      <c r="I20" t="s">
        <v>30</v>
      </c>
      <c r="J20" t="s">
        <v>31</v>
      </c>
      <c r="K20" t="s">
        <v>108</v>
      </c>
      <c r="L20" s="2" t="s">
        <v>3</v>
      </c>
    </row>
    <row r="21" spans="1:12" x14ac:dyDescent="0.3">
      <c r="A21" s="1">
        <v>1</v>
      </c>
      <c r="B21">
        <v>500</v>
      </c>
      <c r="C21" t="s">
        <v>23</v>
      </c>
      <c r="D21" s="2" t="b">
        <v>1</v>
      </c>
      <c r="F21" s="1">
        <v>1</v>
      </c>
      <c r="G21">
        <v>1</v>
      </c>
      <c r="H21">
        <v>1</v>
      </c>
      <c r="I21" t="s">
        <v>11</v>
      </c>
      <c r="J21" t="s">
        <v>11</v>
      </c>
      <c r="K21" t="s">
        <v>11</v>
      </c>
      <c r="L21" s="8" t="b">
        <v>1</v>
      </c>
    </row>
    <row r="22" spans="1:12" x14ac:dyDescent="0.3">
      <c r="A22" s="1">
        <v>2</v>
      </c>
      <c r="B22">
        <v>700</v>
      </c>
      <c r="C22" t="s">
        <v>21</v>
      </c>
      <c r="D22" s="2" t="b">
        <v>1</v>
      </c>
      <c r="F22" s="1">
        <v>2</v>
      </c>
      <c r="G22">
        <v>1</v>
      </c>
      <c r="H22">
        <v>2</v>
      </c>
      <c r="I22" t="s">
        <v>11</v>
      </c>
      <c r="J22" t="s">
        <v>11</v>
      </c>
      <c r="K22" t="s">
        <v>11</v>
      </c>
      <c r="L22" s="2" t="b">
        <v>1</v>
      </c>
    </row>
    <row r="23" spans="1:12" ht="15" thickBot="1" x14ac:dyDescent="0.35">
      <c r="A23" s="3">
        <v>3</v>
      </c>
      <c r="B23" s="4">
        <v>800</v>
      </c>
      <c r="C23" s="4" t="s">
        <v>22</v>
      </c>
      <c r="D23" s="5" t="b">
        <v>0</v>
      </c>
      <c r="F23" s="3">
        <v>3</v>
      </c>
      <c r="G23" s="4">
        <v>1</v>
      </c>
      <c r="H23" s="4">
        <v>3</v>
      </c>
      <c r="I23" s="4" t="s">
        <v>11</v>
      </c>
      <c r="J23" s="4" t="s">
        <v>11</v>
      </c>
      <c r="K23" s="4" t="s">
        <v>11</v>
      </c>
      <c r="L23" s="9" t="b">
        <v>1</v>
      </c>
    </row>
    <row r="25" spans="1:12" ht="15" thickBot="1" x14ac:dyDescent="0.35"/>
    <row r="26" spans="1:12" x14ac:dyDescent="0.3">
      <c r="A26" s="19" t="s">
        <v>34</v>
      </c>
      <c r="B26" s="20"/>
      <c r="C26" s="20"/>
      <c r="D26" s="20"/>
      <c r="E26" s="20"/>
      <c r="F26" s="20"/>
      <c r="G26" s="21"/>
      <c r="I26" s="19" t="s">
        <v>59</v>
      </c>
      <c r="J26" s="20"/>
      <c r="K26" s="21"/>
    </row>
    <row r="27" spans="1:12" x14ac:dyDescent="0.3">
      <c r="A27" s="1" t="s">
        <v>1</v>
      </c>
      <c r="B27" t="s">
        <v>32</v>
      </c>
      <c r="C27" t="s">
        <v>64</v>
      </c>
      <c r="D27" t="s">
        <v>66</v>
      </c>
      <c r="E27" t="s">
        <v>142</v>
      </c>
      <c r="F27" t="s">
        <v>35</v>
      </c>
      <c r="G27" s="2" t="s">
        <v>3</v>
      </c>
      <c r="I27" s="1" t="s">
        <v>1</v>
      </c>
      <c r="J27" t="s">
        <v>60</v>
      </c>
      <c r="K27" s="2" t="s">
        <v>3</v>
      </c>
    </row>
    <row r="28" spans="1:12" x14ac:dyDescent="0.3">
      <c r="A28" s="1">
        <v>1</v>
      </c>
      <c r="B28">
        <v>1</v>
      </c>
      <c r="C28">
        <v>1</v>
      </c>
      <c r="D28" t="s">
        <v>11</v>
      </c>
      <c r="E28" t="s">
        <v>58</v>
      </c>
      <c r="F28" t="s">
        <v>11</v>
      </c>
      <c r="G28" s="2" t="b">
        <v>1</v>
      </c>
      <c r="I28" s="1">
        <v>1</v>
      </c>
      <c r="J28" t="s">
        <v>61</v>
      </c>
      <c r="K28" s="2" t="b">
        <v>1</v>
      </c>
    </row>
    <row r="29" spans="1:12" x14ac:dyDescent="0.3">
      <c r="A29" s="1">
        <v>2</v>
      </c>
      <c r="B29">
        <v>1</v>
      </c>
      <c r="C29">
        <v>3</v>
      </c>
      <c r="D29" t="s">
        <v>11</v>
      </c>
      <c r="E29" t="s">
        <v>58</v>
      </c>
      <c r="F29" t="s">
        <v>11</v>
      </c>
      <c r="G29" s="2" t="b">
        <v>1</v>
      </c>
      <c r="I29" s="1">
        <v>2</v>
      </c>
      <c r="J29" t="s">
        <v>62</v>
      </c>
      <c r="K29" s="2" t="b">
        <v>1</v>
      </c>
    </row>
    <row r="30" spans="1:12" ht="15" thickBot="1" x14ac:dyDescent="0.35">
      <c r="A30" s="3">
        <v>3</v>
      </c>
      <c r="B30" s="4">
        <v>2</v>
      </c>
      <c r="C30" s="4">
        <v>1</v>
      </c>
      <c r="D30" s="4" t="s">
        <v>11</v>
      </c>
      <c r="E30" s="4" t="s">
        <v>58</v>
      </c>
      <c r="F30" s="4" t="s">
        <v>11</v>
      </c>
      <c r="G30" s="5" t="b">
        <v>1</v>
      </c>
      <c r="I30" s="3">
        <v>3</v>
      </c>
      <c r="J30" s="4" t="s">
        <v>63</v>
      </c>
      <c r="K30" s="5" t="b">
        <v>1</v>
      </c>
    </row>
    <row r="32" spans="1:12" ht="15" thickBot="1" x14ac:dyDescent="0.35"/>
    <row r="33" spans="1:14" x14ac:dyDescent="0.3">
      <c r="A33" s="22" t="s">
        <v>55</v>
      </c>
      <c r="B33" s="23"/>
      <c r="C33" s="23"/>
      <c r="D33" s="23"/>
      <c r="E33" s="23"/>
      <c r="F33" s="23"/>
      <c r="G33" s="23"/>
      <c r="H33" s="23"/>
      <c r="I33" s="24"/>
      <c r="K33" s="22" t="s">
        <v>113</v>
      </c>
      <c r="L33" s="23"/>
      <c r="M33" s="23"/>
      <c r="N33" s="24"/>
    </row>
    <row r="34" spans="1:14" x14ac:dyDescent="0.3">
      <c r="A34" s="1" t="s">
        <v>1</v>
      </c>
      <c r="B34" t="s">
        <v>32</v>
      </c>
      <c r="C34" t="s">
        <v>33</v>
      </c>
      <c r="D34" t="s">
        <v>57</v>
      </c>
      <c r="E34" t="s">
        <v>56</v>
      </c>
      <c r="F34" t="s">
        <v>64</v>
      </c>
      <c r="G34" t="s">
        <v>65</v>
      </c>
      <c r="H34" t="s">
        <v>116</v>
      </c>
      <c r="I34" s="2" t="s">
        <v>3</v>
      </c>
      <c r="K34" s="1" t="s">
        <v>1</v>
      </c>
      <c r="L34" t="s">
        <v>114</v>
      </c>
      <c r="M34" t="s">
        <v>115</v>
      </c>
      <c r="N34" s="2" t="s">
        <v>3</v>
      </c>
    </row>
    <row r="35" spans="1:14" x14ac:dyDescent="0.3">
      <c r="A35" s="1">
        <v>1</v>
      </c>
      <c r="B35">
        <v>1</v>
      </c>
      <c r="C35">
        <v>1</v>
      </c>
      <c r="D35" t="s">
        <v>58</v>
      </c>
      <c r="E35">
        <v>1</v>
      </c>
      <c r="F35">
        <v>1</v>
      </c>
      <c r="G35" t="s">
        <v>11</v>
      </c>
      <c r="H35" t="b">
        <v>1</v>
      </c>
      <c r="I35" s="2" t="b">
        <v>1</v>
      </c>
      <c r="K35" s="1">
        <v>1</v>
      </c>
      <c r="L35">
        <v>1</v>
      </c>
      <c r="M35">
        <v>1</v>
      </c>
      <c r="N35" s="2" t="b">
        <v>1</v>
      </c>
    </row>
    <row r="36" spans="1:14" x14ac:dyDescent="0.3">
      <c r="A36" s="1">
        <v>2</v>
      </c>
      <c r="B36">
        <v>1</v>
      </c>
      <c r="C36">
        <v>2</v>
      </c>
      <c r="D36" t="s">
        <v>58</v>
      </c>
      <c r="E36">
        <v>1</v>
      </c>
      <c r="F36">
        <v>1</v>
      </c>
      <c r="G36" t="s">
        <v>11</v>
      </c>
      <c r="H36" t="b">
        <v>0</v>
      </c>
      <c r="I36" s="2" t="b">
        <v>1</v>
      </c>
      <c r="K36" s="1">
        <v>2</v>
      </c>
      <c r="L36">
        <v>1</v>
      </c>
      <c r="M36">
        <v>2</v>
      </c>
      <c r="N36" s="2" t="b">
        <v>1</v>
      </c>
    </row>
    <row r="37" spans="1:14" ht="15" thickBot="1" x14ac:dyDescent="0.35">
      <c r="A37" s="3">
        <v>3</v>
      </c>
      <c r="B37" s="4">
        <v>1</v>
      </c>
      <c r="C37" s="4">
        <v>3</v>
      </c>
      <c r="D37" s="4" t="s">
        <v>58</v>
      </c>
      <c r="E37" s="4">
        <v>1</v>
      </c>
      <c r="F37" s="4">
        <v>1</v>
      </c>
      <c r="G37" s="4" t="s">
        <v>11</v>
      </c>
      <c r="H37" s="4" t="b">
        <v>0</v>
      </c>
      <c r="I37" s="5" t="b">
        <v>1</v>
      </c>
      <c r="K37" s="3">
        <v>3</v>
      </c>
      <c r="L37" s="4">
        <v>2</v>
      </c>
      <c r="M37" s="4">
        <v>2</v>
      </c>
      <c r="N37" s="5" t="b">
        <v>1</v>
      </c>
    </row>
    <row r="39" spans="1:14" ht="15" thickBot="1" x14ac:dyDescent="0.35"/>
    <row r="40" spans="1:14" x14ac:dyDescent="0.3">
      <c r="A40" s="19" t="s">
        <v>68</v>
      </c>
      <c r="B40" s="20"/>
      <c r="C40" s="20"/>
      <c r="D40" s="20"/>
      <c r="E40" s="20"/>
      <c r="F40" s="21"/>
      <c r="H40" s="22" t="s">
        <v>117</v>
      </c>
      <c r="I40" s="23"/>
      <c r="J40" s="23"/>
      <c r="K40" s="23"/>
      <c r="L40" s="24"/>
    </row>
    <row r="41" spans="1:14" x14ac:dyDescent="0.3">
      <c r="A41" s="1" t="s">
        <v>1</v>
      </c>
      <c r="B41" t="s">
        <v>67</v>
      </c>
      <c r="C41" t="s">
        <v>75</v>
      </c>
      <c r="D41" t="s">
        <v>76</v>
      </c>
      <c r="E41" t="s">
        <v>77</v>
      </c>
      <c r="F41" s="2" t="s">
        <v>3</v>
      </c>
      <c r="H41" s="1" t="s">
        <v>1</v>
      </c>
      <c r="I41" t="s">
        <v>118</v>
      </c>
      <c r="J41" t="s">
        <v>119</v>
      </c>
      <c r="K41" t="s">
        <v>120</v>
      </c>
      <c r="L41" s="2" t="s">
        <v>3</v>
      </c>
    </row>
    <row r="42" spans="1:14" x14ac:dyDescent="0.3">
      <c r="A42" s="1">
        <v>1</v>
      </c>
      <c r="B42" t="s">
        <v>69</v>
      </c>
      <c r="C42" s="6" t="s">
        <v>80</v>
      </c>
      <c r="D42" s="6" t="s">
        <v>80</v>
      </c>
      <c r="E42">
        <v>4</v>
      </c>
      <c r="F42" s="2" t="b">
        <v>1</v>
      </c>
      <c r="H42" s="1">
        <v>1</v>
      </c>
      <c r="I42">
        <v>1</v>
      </c>
      <c r="J42" t="s">
        <v>121</v>
      </c>
      <c r="K42" t="s">
        <v>11</v>
      </c>
      <c r="L42" s="2" t="b">
        <v>1</v>
      </c>
    </row>
    <row r="43" spans="1:14" x14ac:dyDescent="0.3">
      <c r="A43" s="1">
        <v>2</v>
      </c>
      <c r="B43" t="s">
        <v>70</v>
      </c>
      <c r="C43" s="6" t="s">
        <v>81</v>
      </c>
      <c r="D43" s="6" t="s">
        <v>81</v>
      </c>
      <c r="E43">
        <v>5</v>
      </c>
      <c r="F43" s="2" t="b">
        <v>1</v>
      </c>
      <c r="H43" s="1">
        <v>2</v>
      </c>
      <c r="I43">
        <v>1</v>
      </c>
      <c r="J43" t="s">
        <v>122</v>
      </c>
      <c r="K43" t="s">
        <v>11</v>
      </c>
      <c r="L43" s="2" t="b">
        <v>1</v>
      </c>
    </row>
    <row r="44" spans="1:14" ht="15" thickBot="1" x14ac:dyDescent="0.35">
      <c r="A44" s="3">
        <v>3</v>
      </c>
      <c r="B44" s="4" t="s">
        <v>71</v>
      </c>
      <c r="C44" s="7" t="s">
        <v>82</v>
      </c>
      <c r="D44" s="7" t="s">
        <v>82</v>
      </c>
      <c r="E44" s="4">
        <v>6</v>
      </c>
      <c r="F44" s="5" t="b">
        <v>1</v>
      </c>
      <c r="H44" s="3">
        <v>3</v>
      </c>
      <c r="I44" s="4">
        <v>2</v>
      </c>
      <c r="J44" s="4" t="s">
        <v>123</v>
      </c>
      <c r="K44" s="4" t="s">
        <v>11</v>
      </c>
      <c r="L44" s="5" t="b">
        <v>1</v>
      </c>
    </row>
    <row r="46" spans="1:14" ht="15" thickBot="1" x14ac:dyDescent="0.35"/>
    <row r="47" spans="1:14" x14ac:dyDescent="0.3">
      <c r="A47" s="19" t="s">
        <v>83</v>
      </c>
      <c r="B47" s="20"/>
      <c r="C47" s="20"/>
      <c r="D47" s="21"/>
      <c r="F47" s="19" t="s">
        <v>72</v>
      </c>
      <c r="G47" s="20"/>
      <c r="H47" s="20"/>
      <c r="I47" s="20"/>
      <c r="J47" s="20"/>
      <c r="K47" s="20"/>
      <c r="L47" s="21"/>
    </row>
    <row r="48" spans="1:14" x14ac:dyDescent="0.3">
      <c r="A48" s="1" t="s">
        <v>1</v>
      </c>
      <c r="B48" t="s">
        <v>84</v>
      </c>
      <c r="C48" t="s">
        <v>85</v>
      </c>
      <c r="D48" s="2" t="s">
        <v>3</v>
      </c>
      <c r="F48" s="1" t="s">
        <v>1</v>
      </c>
      <c r="G48" t="s">
        <v>73</v>
      </c>
      <c r="H48" t="s">
        <v>74</v>
      </c>
      <c r="I48" t="s">
        <v>75</v>
      </c>
      <c r="J48" t="s">
        <v>76</v>
      </c>
      <c r="K48" t="s">
        <v>77</v>
      </c>
      <c r="L48" s="2" t="s">
        <v>3</v>
      </c>
    </row>
    <row r="49" spans="1:12" x14ac:dyDescent="0.3">
      <c r="A49" s="1">
        <v>1</v>
      </c>
      <c r="B49" t="s">
        <v>95</v>
      </c>
      <c r="C49" t="s">
        <v>11</v>
      </c>
      <c r="D49" s="2" t="b">
        <v>1</v>
      </c>
      <c r="F49" s="1">
        <v>1</v>
      </c>
      <c r="G49" t="s">
        <v>78</v>
      </c>
      <c r="H49">
        <v>1</v>
      </c>
      <c r="I49" s="6" t="s">
        <v>80</v>
      </c>
      <c r="J49" s="6" t="s">
        <v>80</v>
      </c>
      <c r="K49">
        <v>4</v>
      </c>
      <c r="L49" s="2" t="b">
        <v>1</v>
      </c>
    </row>
    <row r="50" spans="1:12" x14ac:dyDescent="0.3">
      <c r="A50" s="1">
        <v>2</v>
      </c>
      <c r="B50" t="s">
        <v>96</v>
      </c>
      <c r="C50" t="s">
        <v>11</v>
      </c>
      <c r="D50" s="2" t="b">
        <v>1</v>
      </c>
      <c r="F50" s="1">
        <v>2</v>
      </c>
      <c r="G50" t="s">
        <v>79</v>
      </c>
      <c r="H50">
        <v>1</v>
      </c>
      <c r="I50" s="6" t="s">
        <v>81</v>
      </c>
      <c r="J50" s="6" t="s">
        <v>81</v>
      </c>
      <c r="K50">
        <v>5</v>
      </c>
      <c r="L50" s="2" t="b">
        <v>1</v>
      </c>
    </row>
    <row r="51" spans="1:12" ht="15" thickBot="1" x14ac:dyDescent="0.35">
      <c r="A51" s="3">
        <v>3</v>
      </c>
      <c r="B51" t="s">
        <v>97</v>
      </c>
      <c r="C51" s="4" t="s">
        <v>11</v>
      </c>
      <c r="D51" s="5" t="b">
        <v>1</v>
      </c>
      <c r="F51" s="3">
        <v>3</v>
      </c>
      <c r="G51" s="4" t="s">
        <v>98</v>
      </c>
      <c r="H51" s="4">
        <v>1</v>
      </c>
      <c r="I51" s="7" t="s">
        <v>82</v>
      </c>
      <c r="J51" s="7" t="s">
        <v>82</v>
      </c>
      <c r="K51" s="4">
        <v>6</v>
      </c>
      <c r="L51" s="5" t="b">
        <v>1</v>
      </c>
    </row>
    <row r="53" spans="1:12" ht="15" thickBot="1" x14ac:dyDescent="0.35"/>
    <row r="54" spans="1:12" x14ac:dyDescent="0.3">
      <c r="A54" s="19" t="s">
        <v>86</v>
      </c>
      <c r="B54" s="20"/>
      <c r="C54" s="20"/>
      <c r="D54" s="20"/>
      <c r="E54" s="20"/>
      <c r="F54" s="20"/>
      <c r="G54" s="20"/>
      <c r="H54" s="20"/>
      <c r="I54" s="21"/>
    </row>
    <row r="55" spans="1:12" x14ac:dyDescent="0.3">
      <c r="A55" s="1" t="s">
        <v>1</v>
      </c>
      <c r="B55" t="s">
        <v>87</v>
      </c>
      <c r="C55" t="s">
        <v>88</v>
      </c>
      <c r="D55" t="s">
        <v>89</v>
      </c>
      <c r="E55" t="s">
        <v>90</v>
      </c>
      <c r="F55" t="s">
        <v>75</v>
      </c>
      <c r="G55" t="s">
        <v>76</v>
      </c>
      <c r="H55" t="s">
        <v>91</v>
      </c>
      <c r="I55" s="2" t="s">
        <v>3</v>
      </c>
    </row>
    <row r="56" spans="1:12" x14ac:dyDescent="0.3">
      <c r="A56" s="1">
        <v>1</v>
      </c>
      <c r="B56" t="s">
        <v>92</v>
      </c>
      <c r="C56" t="s">
        <v>102</v>
      </c>
      <c r="D56">
        <v>3</v>
      </c>
      <c r="E56" t="s">
        <v>99</v>
      </c>
      <c r="F56" s="6" t="s">
        <v>80</v>
      </c>
      <c r="G56" s="6" t="s">
        <v>80</v>
      </c>
      <c r="H56">
        <v>2</v>
      </c>
      <c r="I56" s="2" t="b">
        <v>1</v>
      </c>
    </row>
    <row r="57" spans="1:12" x14ac:dyDescent="0.3">
      <c r="A57" s="1">
        <v>2</v>
      </c>
      <c r="B57" t="s">
        <v>93</v>
      </c>
      <c r="C57" t="s">
        <v>103</v>
      </c>
      <c r="D57">
        <v>2</v>
      </c>
      <c r="E57" t="s">
        <v>100</v>
      </c>
      <c r="F57" s="6" t="s">
        <v>81</v>
      </c>
      <c r="G57" s="6" t="s">
        <v>81</v>
      </c>
      <c r="H57">
        <v>1</v>
      </c>
      <c r="I57" s="2" t="b">
        <v>1</v>
      </c>
    </row>
    <row r="58" spans="1:12" ht="15" thickBot="1" x14ac:dyDescent="0.35">
      <c r="A58" s="3">
        <v>3</v>
      </c>
      <c r="B58" s="4" t="s">
        <v>94</v>
      </c>
      <c r="C58" s="4" t="s">
        <v>104</v>
      </c>
      <c r="D58" s="4">
        <v>1</v>
      </c>
      <c r="E58" s="4" t="s">
        <v>101</v>
      </c>
      <c r="F58" s="7" t="s">
        <v>82</v>
      </c>
      <c r="G58" s="7" t="s">
        <v>82</v>
      </c>
      <c r="H58" s="4">
        <v>1</v>
      </c>
      <c r="I58" s="5" t="b">
        <v>1</v>
      </c>
    </row>
    <row r="60" spans="1:12" ht="15" thickBot="1" x14ac:dyDescent="0.35"/>
    <row r="61" spans="1:12" x14ac:dyDescent="0.3">
      <c r="A61" s="22" t="s">
        <v>124</v>
      </c>
      <c r="B61" s="23"/>
      <c r="C61" s="23"/>
      <c r="D61" s="24"/>
      <c r="F61" s="22" t="s">
        <v>128</v>
      </c>
      <c r="G61" s="23"/>
      <c r="H61" s="23"/>
      <c r="I61" s="24"/>
    </row>
    <row r="62" spans="1:12" x14ac:dyDescent="0.3">
      <c r="A62" s="13" t="s">
        <v>1</v>
      </c>
      <c r="B62" s="10" t="s">
        <v>37</v>
      </c>
      <c r="C62" s="10" t="s">
        <v>39</v>
      </c>
      <c r="D62" s="14" t="s">
        <v>3</v>
      </c>
      <c r="F62" s="13" t="s">
        <v>1</v>
      </c>
      <c r="G62" s="10" t="s">
        <v>37</v>
      </c>
      <c r="H62" s="10" t="s">
        <v>90</v>
      </c>
      <c r="I62" s="14" t="s">
        <v>3</v>
      </c>
    </row>
    <row r="63" spans="1:12" x14ac:dyDescent="0.3">
      <c r="A63" s="13">
        <v>1</v>
      </c>
      <c r="B63" s="10" t="s">
        <v>125</v>
      </c>
      <c r="C63" s="10" t="str">
        <f>CONCATENATE(B63,"@andez.com.ar")</f>
        <v>Compras@andez.com.ar</v>
      </c>
      <c r="D63" s="14" t="b">
        <v>1</v>
      </c>
      <c r="F63" s="13">
        <v>1</v>
      </c>
      <c r="G63" s="10" t="s">
        <v>129</v>
      </c>
      <c r="H63" s="10">
        <v>45552646</v>
      </c>
      <c r="I63" s="14" t="b">
        <v>1</v>
      </c>
    </row>
    <row r="64" spans="1:12" x14ac:dyDescent="0.3">
      <c r="A64" s="13">
        <v>2</v>
      </c>
      <c r="B64" s="10" t="s">
        <v>126</v>
      </c>
      <c r="C64" s="10" t="str">
        <f t="shared" ref="C64:C65" si="0">CONCATENATE(B64,"@andez.com.ar")</f>
        <v>RRHH@andez.com.ar</v>
      </c>
      <c r="D64" s="14" t="b">
        <v>1</v>
      </c>
      <c r="F64" s="13">
        <v>2</v>
      </c>
      <c r="G64" s="10" t="s">
        <v>130</v>
      </c>
      <c r="H64" s="10">
        <v>45552646</v>
      </c>
      <c r="I64" s="14" t="b">
        <v>1</v>
      </c>
    </row>
    <row r="65" spans="1:9" ht="15" thickBot="1" x14ac:dyDescent="0.35">
      <c r="A65" s="15">
        <v>3</v>
      </c>
      <c r="B65" s="16" t="s">
        <v>127</v>
      </c>
      <c r="C65" s="16" t="str">
        <f t="shared" si="0"/>
        <v>Ventas@andez.com.ar</v>
      </c>
      <c r="D65" s="17" t="b">
        <v>1</v>
      </c>
      <c r="F65" s="15">
        <v>3</v>
      </c>
      <c r="G65" s="16" t="s">
        <v>131</v>
      </c>
      <c r="H65" s="16">
        <v>1545552646</v>
      </c>
      <c r="I65" s="17" t="b">
        <v>1</v>
      </c>
    </row>
    <row r="67" spans="1:9" ht="15" thickBot="1" x14ac:dyDescent="0.35"/>
    <row r="68" spans="1:9" x14ac:dyDescent="0.3">
      <c r="A68" s="22" t="s">
        <v>132</v>
      </c>
      <c r="B68" s="23"/>
      <c r="C68" s="23"/>
      <c r="D68" s="24"/>
      <c r="F68" s="22" t="s">
        <v>138</v>
      </c>
      <c r="G68" s="23"/>
      <c r="H68" s="23"/>
      <c r="I68" s="24"/>
    </row>
    <row r="69" spans="1:9" x14ac:dyDescent="0.3">
      <c r="A69" s="13" t="s">
        <v>1</v>
      </c>
      <c r="B69" s="10" t="s">
        <v>133</v>
      </c>
      <c r="C69" s="10" t="s">
        <v>134</v>
      </c>
      <c r="D69" s="18" t="s">
        <v>3</v>
      </c>
      <c r="F69" s="13" t="s">
        <v>1</v>
      </c>
      <c r="G69" s="10" t="s">
        <v>119</v>
      </c>
      <c r="H69" s="10" t="s">
        <v>57</v>
      </c>
      <c r="I69" s="14" t="s">
        <v>3</v>
      </c>
    </row>
    <row r="70" spans="1:9" x14ac:dyDescent="0.3">
      <c r="A70" s="13">
        <v>1</v>
      </c>
      <c r="B70" s="10" t="s">
        <v>136</v>
      </c>
      <c r="C70" s="10" t="s">
        <v>11</v>
      </c>
      <c r="D70" s="14" t="b">
        <v>1</v>
      </c>
      <c r="F70" s="13">
        <v>1</v>
      </c>
      <c r="G70" s="10" t="s">
        <v>139</v>
      </c>
      <c r="H70" s="10" t="s">
        <v>58</v>
      </c>
      <c r="I70" s="14" t="b">
        <v>1</v>
      </c>
    </row>
    <row r="71" spans="1:9" x14ac:dyDescent="0.3">
      <c r="A71" s="13">
        <v>2</v>
      </c>
      <c r="B71" s="10" t="s">
        <v>135</v>
      </c>
      <c r="C71" s="10" t="s">
        <v>11</v>
      </c>
      <c r="D71" s="14" t="b">
        <v>1</v>
      </c>
      <c r="F71" s="13">
        <v>2</v>
      </c>
      <c r="G71" s="10" t="s">
        <v>140</v>
      </c>
      <c r="H71" s="10" t="s">
        <v>58</v>
      </c>
      <c r="I71" s="14" t="b">
        <v>1</v>
      </c>
    </row>
    <row r="72" spans="1:9" ht="15" thickBot="1" x14ac:dyDescent="0.35">
      <c r="A72" s="15">
        <v>3</v>
      </c>
      <c r="B72" s="16" t="s">
        <v>137</v>
      </c>
      <c r="C72" s="16" t="s">
        <v>11</v>
      </c>
      <c r="D72" s="17" t="b">
        <v>1</v>
      </c>
      <c r="F72" s="15">
        <v>3</v>
      </c>
      <c r="G72" s="16" t="s">
        <v>141</v>
      </c>
      <c r="H72" s="16" t="s">
        <v>58</v>
      </c>
      <c r="I72" s="17" t="b">
        <v>1</v>
      </c>
    </row>
  </sheetData>
  <mergeCells count="20">
    <mergeCell ref="A47:D47"/>
    <mergeCell ref="I26:K26"/>
    <mergeCell ref="F68:I68"/>
    <mergeCell ref="F47:L47"/>
    <mergeCell ref="H40:L40"/>
    <mergeCell ref="A61:D61"/>
    <mergeCell ref="F61:I61"/>
    <mergeCell ref="A68:D68"/>
    <mergeCell ref="A54:I54"/>
    <mergeCell ref="A40:F40"/>
    <mergeCell ref="L12:O12"/>
    <mergeCell ref="A19:D19"/>
    <mergeCell ref="A12:E12"/>
    <mergeCell ref="A33:I33"/>
    <mergeCell ref="I5:K5"/>
    <mergeCell ref="A5:G5"/>
    <mergeCell ref="G12:J12"/>
    <mergeCell ref="A26:G26"/>
    <mergeCell ref="F19:L19"/>
    <mergeCell ref="K33:N33"/>
  </mergeCells>
  <phoneticPr fontId="2" type="noConversion"/>
  <pageMargins left="0.7" right="0.7" top="0.75" bottom="0.75" header="0.3" footer="0.3"/>
  <pageSetup paperSize="9" orientation="portrait" r:id="rId1"/>
  <legacyDrawing r:id="rId2"/>
  <tableParts count="2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Clingo</dc:creator>
  <cp:lastModifiedBy>Fernando Clingo</cp:lastModifiedBy>
  <dcterms:created xsi:type="dcterms:W3CDTF">2026-01-05T20:48:46Z</dcterms:created>
  <dcterms:modified xsi:type="dcterms:W3CDTF">2026-02-20T02:06:56Z</dcterms:modified>
</cp:coreProperties>
</file>
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004FE4DE-6D36-40CC-B083-C820EBD0BFC3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D65" i="1"/>
  <c r="D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<sst xmlns="http://schemas.openxmlformats.org/spreadsheetml/2006/main" count="260" uniqueCount="153">
  <si>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</si>
  <si>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</si>
  <si>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</si>
  <si>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</si>
  <si>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</si>
  <si>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</si>
  <si>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</si>
  <si>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</si>
  <si>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</si>
  <si>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</si>
  <si>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</si>
  <si>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</si>
  <si>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</si>
  <si>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</si>
  <si>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</si>
  <si>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</si>
  <si>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</si>
  <si>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</si>
  <si>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</si>
  <si>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</si>
  <si>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</si>
  <si>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</si>
  <si>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</si>
  <si>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</si>
  <si>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</si>
  <si>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</si>
  <si>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</si>
  <si>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</si>
  <si>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</si>
  <si>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</si>
  <si>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</si>
  <si>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</si>
  <si>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</si>
  <si>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</si>
  <si>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</si>
  <si>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</si>
  <si>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</si>
  <si>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</si>
  <si>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</si>
  <si>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</si>
  <si>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</si>
  <si>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</si>
  <si>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</si>
  <si>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</si>
  <si>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</si>
  <si>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</si>
  <si>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</si>
  <si>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</si>
  <si>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</si>
  <si>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</si>
  <si>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</si>
  <si>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</si>
  <si>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</si>
  <si>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</si>
  <si>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</si>
  <si>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</si>
  <si>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</si>
  <si>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</si>
  <si>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</si>
  <si>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</si>
  <si>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</si>
  <si>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</si>
  <si>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</si>
  <si>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</si>
  <si>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</si>
  <si>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</si>
  <si>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</si>
  <si>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</si>
  <si>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</si>
  <si>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</si>
  <si>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</si>
  <si>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</si>
  <si>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</si>
  <si>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</si>
  <si>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</si>
  <si>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</si>
  <si>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</si>
  <si>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</si>
  <si>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</si>
  <si>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</si>
  <si>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</si>
  <si>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</si>
  <si>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</si>
  <si>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</si>
  <si>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</si>
  <si>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</si>
  <si>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</si>
  <si>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</si>
  <si>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</si>
  <si>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</si>
  <si>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</si>
  <si>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</si>
  <si>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</si>
  <si>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</si>
  <si>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</si>
  <si>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</si>
  <si>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</si>
  <si>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</si>
  <si>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</si>
  <si>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</si>
  <si>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</si>
  <si>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</si>
  <si>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</si>
  <si>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</si>
  <si>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</si>
  <si>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</si>
  <si>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</si>
  <si>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</si>
  <si>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</si>
  <si>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</si>
  <si>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</si>
  <si>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</si>
  <si>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</si>
  <si>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</si>
  <si>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</si>
  <si>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</si>
  <si>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ImagenesAmbientaciones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</si>
  <si>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</si>
  <si>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</si>
  <si>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</si>
  <si>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</si>
  <si>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</si>
  <si>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</si>
  <si>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Compras</t>
  </si>
  <si>
    <t>RRHH</t>
  </si>
  <si>
    <t>Ventas</t>
  </si>
  <si>
    <t>Linea 1</t>
  </si>
  <si>
    <t>Linea 2</t>
  </si>
  <si>
    <t>Celular</t>
  </si>
  <si>
    <t>Red</t>
  </si>
  <si>
    <t>URLRed</t>
  </si>
  <si>
    <t>X</t>
  </si>
  <si>
    <t>Youtube</t>
  </si>
  <si>
    <t>Facebook</t>
  </si>
  <si>
    <t>FraseInstitucionalLinea</t>
  </si>
  <si>
    <t>AtributosPorProductos (está en productos)</t>
  </si>
  <si>
    <t>Mails</t>
  </si>
  <si>
    <t>Telefonos</t>
  </si>
  <si>
    <t>RedesSociales</t>
  </si>
  <si>
    <t>IdEmpresa</t>
  </si>
  <si>
    <t>Empresa</t>
  </si>
  <si>
    <t>Nombre S A</t>
  </si>
  <si>
    <t>CUIT</t>
  </si>
  <si>
    <t>20-55223344-1</t>
  </si>
  <si>
    <t>Eva Peron 2543</t>
  </si>
  <si>
    <t>Localidad</t>
  </si>
  <si>
    <t>Munro</t>
  </si>
  <si>
    <t>Partido</t>
  </si>
  <si>
    <t>Vicente Lopez</t>
  </si>
  <si>
    <t>CP</t>
  </si>
  <si>
    <t>B1605BHA</t>
  </si>
  <si>
    <t>Horario</t>
  </si>
  <si>
    <t>Lun a Vier 8 a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</si>
</sst>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1" fillId="4" borderId="5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0" xfId="0" applyFill="1" applyBorder="1"/>
  </cellXfs>
  <cellStyles count="1">
    <cellStyle name="Normal" xfId="0" builtinId="0"/>
  </cellStyles>
  <dxfs count="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border outline="0">
        <right style="medium">
          <color indexed="64"/>
        </right>
      </border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55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J16" totalsRowShown="0">
  <autoFilter ref="G13:J16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3:O16" totalsRowShown="0">
  <autoFilter ref="L13:O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54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53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52"/>
    <tableColumn id="4" xr3:uid="{36EB177E-ACE1-4B78-A56A-A9F891312B25}" name="Longitud" dataDxfId="51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50" dataDxfId="49">
  <autoFilter ref="H41:L44" xr:uid="{EF32F6B3-AC45-462F-BE18-EFE2DD57FE9B}"/>
  <tableColumns count="5">
    <tableColumn id="1" xr3:uid="{C8F6ED57-5FD2-4FB3-A4A5-BC3965E98B15}" name="ID" dataDxfId="48"/>
    <tableColumn id="2" xr3:uid="{65B99387-EDCD-429B-B81B-A4F58479A304}" name="IdProducto" dataDxfId="47"/>
    <tableColumn id="3" xr3:uid="{5D9C0348-2DF4-47CC-977C-AAFB9F19E959}" name="Titulo" dataDxfId="46"/>
    <tableColumn id="4" xr3:uid="{1CACB54F-DC9D-41AC-A04F-171EF34060DC}" name="URLImagen" dataDxfId="45"/>
    <tableColumn id="7" xr3:uid="{824500A6-D872-42FD-9C38-60CB54869E2F}" name="Activo" dataDxfId="44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43"/>
    <tableColumn id="7" xr3:uid="{D1025C6A-57D3-4E57-916D-CF79774C6EAF}" name="Longitud" dataDxfId="42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41" dataDxfId="40">
  <autoFilter ref="K34:N37" xr:uid="{36798AE9-B843-4477-9F23-32045BDEF7D7}"/>
  <tableColumns count="4">
    <tableColumn id="1" xr3:uid="{E050CEA3-2793-4698-9E45-C3447ADCD555}" name="ID" dataDxfId="39"/>
    <tableColumn id="2" xr3:uid="{03295AE7-34B5-4134-9D2F-2268D15B310C}" name="IDProducto" dataDxfId="38"/>
    <tableColumn id="3" xr3:uid="{1564E106-D50F-4573-A696-EE197325F0F3}" name="IDAtributo" dataDxfId="37"/>
    <tableColumn id="4" xr3:uid="{5F701778-C720-415C-9979-8380EB9AB80C}" name="Activo" dataDxfId="36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35"/>
    <tableColumn id="5" xr3:uid="{ACBD9873-D350-427F-993B-2B1B42296D9B}" name="Longitud" dataDxfId="34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E65" totalsRowShown="0" headerRowDxfId="33" dataDxfId="32">
  <autoFilter ref="A62:E65" xr:uid="{6995137C-E78D-4F26-A126-F3AEFE2A2B13}"/>
  <tableColumns count="5">
    <tableColumn id="1" xr3:uid="{7C1F763D-9A29-4F91-BB26-5F2CF68260F0}" name="ID" dataDxfId="24"/>
    <tableColumn id="5" xr3:uid="{F0BF2187-ECA7-4173-9FAC-3BC72EFDB82F}" name="IdEmpresa" dataDxfId="23"/>
    <tableColumn id="2" xr3:uid="{98E75056-4A9A-4C56-8FA5-EFD4D867777B}" name="Nombre" dataDxfId="22"/>
    <tableColumn id="3" xr3:uid="{48A2AE2B-7A42-420C-8BB3-5F9F2AA01721}" name="Mail" dataDxfId="21">
      <calculatedColumnFormula>CONCATENATE(C63,"@andez.com.ar")</calculatedColumnFormula>
    </tableColumn>
    <tableColumn id="4" xr3:uid="{31D99612-66DC-4B54-A747-6C39765D7B66}" name="Activo" dataDxfId="20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G62:K65" totalsRowShown="0" headerRowDxfId="31" dataDxfId="30">
  <autoFilter ref="G62:K65" xr:uid="{89087EED-CE2D-441A-9746-B0BA56EA9A63}"/>
  <tableColumns count="5">
    <tableColumn id="1" xr3:uid="{6D3F8F4E-2473-4BE6-A51E-C3C3E4C26133}" name="ID" dataDxfId="19"/>
    <tableColumn id="5" xr3:uid="{8C181956-53C7-4FD2-BAAB-42B1CDE2E84E}" name="IdEmpresa" dataDxfId="18"/>
    <tableColumn id="2" xr3:uid="{12B007DF-889A-4CDB-93CC-EBEFCBD3A3E9}" name="Nombre" dataDxfId="17"/>
    <tableColumn id="3" xr3:uid="{A94B5F86-8442-44DD-9C03-77F51D7F5B8D}" name="Telefono" dataDxfId="16">
      <calculatedColumnFormula>CONCATENATE(I63,"@andez.com.ar")</calculatedColumnFormula>
    </tableColumn>
    <tableColumn id="4" xr3:uid="{0E412ADD-9FF3-43E1-BDA1-A917D6B1E4D7}" name="Activo" dataDxfId="15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E72" totalsRowShown="0" headerRowDxfId="29" dataDxfId="28" tableBorderDxfId="27">
  <autoFilter ref="A69:E72" xr:uid="{58000D4A-AEBA-4D49-B463-180C8FD8A937}"/>
  <tableColumns count="5">
    <tableColumn id="1" xr3:uid="{E9F2D081-00F6-4B92-9DFE-6473CB6B3F38}" name="ID" dataDxfId="14"/>
    <tableColumn id="5" xr3:uid="{FE107DC5-A1C2-4F54-BC82-5BBB32CCABC3}" name="IdEmpresa" dataDxfId="13"/>
    <tableColumn id="2" xr3:uid="{DE65DD1F-F1BA-4548-A19A-4B9DD2857A6F}" name="Red" dataDxfId="12"/>
    <tableColumn id="3" xr3:uid="{23F951D4-E519-45F7-81C5-69ED4EA385E4}" name="URLRed" dataDxfId="11"/>
    <tableColumn id="4" xr3:uid="{E5F1016C-C8F1-4FEA-B687-B57CB00F2E70}" name="Activo" dataDxfId="10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A76:J77" totalsRowShown="0" headerRowDxfId="26" dataDxfId="25">
  <autoFilter ref="A76:J77" xr:uid="{A2E83C68-75BA-4C98-B80E-E4E7E2B0B82C}"/>
  <tableColumns count="10">
    <tableColumn id="1" xr3:uid="{173EAAD2-F12F-4372-8FA2-00B32059C1EB}" name="ID" dataDxfId="9"/>
    <tableColumn id="2" xr3:uid="{3E7AAA46-3847-4587-A43F-E688C1582045}" name="RazonSocial" dataDxfId="8"/>
    <tableColumn id="4" xr3:uid="{7727AE8E-759C-4DE1-86AE-BDFED86835D0}" name="CUIT" dataDxfId="7"/>
    <tableColumn id="5" xr3:uid="{BBA783BB-BBBB-4233-929D-4BF68AFA091A}" name="Direccion" dataDxfId="6"/>
    <tableColumn id="6" xr3:uid="{419A73DC-BE03-4D90-BE0C-9779F3EB2DDB}" name="Localidad" dataDxfId="5"/>
    <tableColumn id="7" xr3:uid="{BE8C959F-F07F-4076-8E57-3EA25221B957}" name="Partido" dataDxfId="4"/>
    <tableColumn id="8" xr3:uid="{DB60E2FA-C8A3-4C27-BCAB-41F7E5C99855}" name="IdProvincia" dataDxfId="3"/>
    <tableColumn id="9" xr3:uid="{EC23197E-97BD-4D2B-AF77-BAEDEAEEEB33}" name="CP" dataDxfId="2"/>
    <tableColumn id="10" xr3:uid="{7234FBEF-54AA-4FBE-8D11-84EDF024DAB3}" name="Horario" dataDxfId="1"/>
    <tableColumn id="3" xr3:uid="{2D33166C-2999-4BC9-8B00-7F06B4D84FF1}" name="Activ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comments" Target="../comments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O77"/>
  <sheetViews>
    <sheetView tabSelected="1" zoomScale="79" zoomScaleNormal="79" workbookViewId="0">
      <selection activeCell="E6" sqref="E6"/>
    </sheetView>
  </sheetViews>
  <sheetFormatPr baseColWidth="10" defaultRowHeight="14.4" x14ac:dyDescent="0.3"/>
  <cols>
    <col min="1" max="1" width="5.77734375" bestFit="1" customWidth="1"/>
    <col min="2" max="2" width="24" bestFit="1" customWidth="1"/>
    <col min="3" max="3" width="17.77734375" bestFit="1" customWidth="1"/>
    <col min="4" max="4" width="28.77734375" bestFit="1" customWidth="1"/>
    <col min="5" max="5" width="24.88671875" bestFit="1" customWidth="1"/>
    <col min="6" max="6" width="17.21875" bestFit="1" customWidth="1"/>
    <col min="7" max="7" width="22.21875" bestFit="1" customWidth="1"/>
    <col min="8" max="8" width="24.88671875" bestFit="1" customWidth="1"/>
    <col min="9" max="9" width="15.77734375" bestFit="1" customWidth="1"/>
    <col min="10" max="10" width="27.21875" bestFit="1" customWidth="1"/>
    <col min="11" max="12" width="13.77734375" bestFit="1" customWidth="1"/>
    <col min="13" max="13" width="18.109375" bestFit="1" customWidth="1"/>
    <col min="14" max="14" width="12.21875" bestFit="1" customWidth="1"/>
    <col min="15" max="15" width="11.33203125" bestFit="1" customWidth="1"/>
    <col min="16" max="16" width="12.6640625" bestFit="1" customWidth="1"/>
    <col min="17" max="17" width="16" bestFit="1" customWidth="1"/>
    <col min="18" max="18" width="12.109375" bestFit="1" customWidth="1"/>
  </cols>
  <sheetData>
    <row r="1" spans="1:15" x14ac:dyDescent="0.3">
      <c r="B1" s="11" t="s">
        <v>105</v>
      </c>
      <c r="C1" s="10" t="s">
        <v>106</v>
      </c>
      <c r="D1" s="12" t="s">
        <v>107</v>
      </c>
    </row>
    <row r="4" spans="1:15" ht="15" thickBot="1" x14ac:dyDescent="0.35"/>
    <row r="5" spans="1:15" x14ac:dyDescent="0.3">
      <c r="A5" s="22" t="s">
        <v>36</v>
      </c>
      <c r="B5" s="23"/>
      <c r="C5" s="23"/>
      <c r="D5" s="23"/>
      <c r="E5" s="23"/>
      <c r="F5" s="23"/>
      <c r="G5" s="24"/>
      <c r="I5" s="22" t="s">
        <v>47</v>
      </c>
      <c r="J5" s="23"/>
      <c r="K5" s="24"/>
    </row>
    <row r="6" spans="1:15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5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5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5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5" ht="15" thickBot="1" x14ac:dyDescent="0.35"/>
    <row r="12" spans="1:15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1"/>
      <c r="L12" s="19" t="s">
        <v>12</v>
      </c>
      <c r="M12" s="20"/>
      <c r="N12" s="20"/>
      <c r="O12" s="21"/>
    </row>
    <row r="13" spans="1:15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s="2" t="s">
        <v>3</v>
      </c>
      <c r="L13" s="1" t="s">
        <v>1</v>
      </c>
      <c r="M13" t="s">
        <v>14</v>
      </c>
      <c r="N13" t="s">
        <v>13</v>
      </c>
      <c r="O13" s="2" t="s">
        <v>3</v>
      </c>
    </row>
    <row r="14" spans="1:15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s="2" t="b">
        <v>1</v>
      </c>
      <c r="L14" s="1">
        <v>1</v>
      </c>
      <c r="M14" t="s">
        <v>15</v>
      </c>
      <c r="N14" t="s">
        <v>11</v>
      </c>
      <c r="O14" s="2" t="b">
        <v>1</v>
      </c>
    </row>
    <row r="15" spans="1:15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s="2" t="b">
        <v>1</v>
      </c>
      <c r="L15" s="1">
        <v>2</v>
      </c>
      <c r="M15" t="s">
        <v>16</v>
      </c>
      <c r="N15" t="s">
        <v>11</v>
      </c>
      <c r="O15" s="2" t="b">
        <v>1</v>
      </c>
    </row>
    <row r="16" spans="1:15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5" t="b">
        <v>0</v>
      </c>
      <c r="L16" s="3">
        <v>3</v>
      </c>
      <c r="M16" s="4" t="s">
        <v>17</v>
      </c>
      <c r="N16" s="4" t="s">
        <v>11</v>
      </c>
      <c r="O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134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135</v>
      </c>
      <c r="L33" s="20"/>
      <c r="M33" s="20"/>
      <c r="N33" s="21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22" t="s">
        <v>116</v>
      </c>
      <c r="I40" s="23"/>
      <c r="J40" s="23"/>
      <c r="K40" s="23"/>
      <c r="L40" s="24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117</v>
      </c>
      <c r="J41" t="s">
        <v>118</v>
      </c>
      <c r="K41" t="s">
        <v>119</v>
      </c>
      <c r="L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120</v>
      </c>
      <c r="K42" t="s">
        <v>11</v>
      </c>
      <c r="L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121</v>
      </c>
      <c r="K43" t="s">
        <v>11</v>
      </c>
      <c r="L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2</v>
      </c>
      <c r="J44" s="4" t="s">
        <v>122</v>
      </c>
      <c r="K44" s="4" t="s">
        <v>11</v>
      </c>
      <c r="L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22" t="s">
        <v>136</v>
      </c>
      <c r="B61" s="23"/>
      <c r="C61" s="23"/>
      <c r="D61" s="23"/>
      <c r="E61" s="24"/>
      <c r="G61" s="22" t="s">
        <v>137</v>
      </c>
      <c r="H61" s="23"/>
      <c r="I61" s="23"/>
      <c r="J61" s="23"/>
      <c r="K61" s="24"/>
    </row>
    <row r="62" spans="1:12" x14ac:dyDescent="0.3">
      <c r="A62" s="13" t="s">
        <v>1</v>
      </c>
      <c r="B62" s="25" t="s">
        <v>139</v>
      </c>
      <c r="C62" s="25" t="s">
        <v>37</v>
      </c>
      <c r="D62" s="25" t="s">
        <v>39</v>
      </c>
      <c r="E62" s="14" t="s">
        <v>3</v>
      </c>
      <c r="G62" s="13" t="s">
        <v>1</v>
      </c>
      <c r="H62" s="25" t="s">
        <v>139</v>
      </c>
      <c r="I62" s="25" t="s">
        <v>37</v>
      </c>
      <c r="J62" s="25" t="s">
        <v>90</v>
      </c>
      <c r="K62" s="14" t="s">
        <v>3</v>
      </c>
    </row>
    <row r="63" spans="1:12" x14ac:dyDescent="0.3">
      <c r="A63" s="13">
        <v>1</v>
      </c>
      <c r="B63" s="25">
        <v>1</v>
      </c>
      <c r="C63" s="25" t="s">
        <v>123</v>
      </c>
      <c r="D63" s="25" t="str">
        <f>CONCATENATE(C63,"@andez.com.ar")</f>
        <v>Compras@andez.com.ar</v>
      </c>
      <c r="E63" s="14" t="b">
        <v>1</v>
      </c>
      <c r="G63" s="13">
        <v>1</v>
      </c>
      <c r="H63" s="25">
        <v>1</v>
      </c>
      <c r="I63" s="25" t="s">
        <v>126</v>
      </c>
      <c r="J63" s="25">
        <v>45552646</v>
      </c>
      <c r="K63" s="14" t="b">
        <v>1</v>
      </c>
    </row>
    <row r="64" spans="1:12" x14ac:dyDescent="0.3">
      <c r="A64" s="13">
        <v>2</v>
      </c>
      <c r="B64" s="25">
        <v>1</v>
      </c>
      <c r="C64" s="25" t="s">
        <v>124</v>
      </c>
      <c r="D64" s="25" t="str">
        <f t="shared" ref="D64:D65" si="0">CONCATENATE(C64,"@andez.com.ar")</f>
        <v>RRHH@andez.com.ar</v>
      </c>
      <c r="E64" s="14" t="b">
        <v>1</v>
      </c>
      <c r="G64" s="13">
        <v>2</v>
      </c>
      <c r="H64" s="25">
        <v>1</v>
      </c>
      <c r="I64" s="25" t="s">
        <v>127</v>
      </c>
      <c r="J64" s="25">
        <v>45552646</v>
      </c>
      <c r="K64" s="14" t="b">
        <v>1</v>
      </c>
    </row>
    <row r="65" spans="1:11" ht="15" thickBot="1" x14ac:dyDescent="0.35">
      <c r="A65" s="15">
        <v>3</v>
      </c>
      <c r="B65" s="16">
        <v>1</v>
      </c>
      <c r="C65" s="16" t="s">
        <v>125</v>
      </c>
      <c r="D65" s="16" t="str">
        <f t="shared" si="0"/>
        <v>Ventas@andez.com.ar</v>
      </c>
      <c r="E65" s="17" t="b">
        <v>1</v>
      </c>
      <c r="G65" s="15">
        <v>3</v>
      </c>
      <c r="H65" s="16">
        <v>1</v>
      </c>
      <c r="I65" s="16" t="s">
        <v>128</v>
      </c>
      <c r="J65" s="16">
        <v>1545552646</v>
      </c>
      <c r="K65" s="17" t="b">
        <v>1</v>
      </c>
    </row>
    <row r="67" spans="1:11" ht="15" thickBot="1" x14ac:dyDescent="0.35"/>
    <row r="68" spans="1:11" x14ac:dyDescent="0.3">
      <c r="A68" s="22" t="s">
        <v>138</v>
      </c>
      <c r="B68" s="23"/>
      <c r="C68" s="23"/>
      <c r="D68" s="23"/>
      <c r="E68" s="24"/>
    </row>
    <row r="69" spans="1:11" x14ac:dyDescent="0.3">
      <c r="A69" s="13" t="s">
        <v>1</v>
      </c>
      <c r="B69" s="25" t="s">
        <v>139</v>
      </c>
      <c r="C69" s="25" t="s">
        <v>129</v>
      </c>
      <c r="D69" s="25" t="s">
        <v>130</v>
      </c>
      <c r="E69" s="18" t="s">
        <v>3</v>
      </c>
    </row>
    <row r="70" spans="1:11" x14ac:dyDescent="0.3">
      <c r="A70" s="13">
        <v>1</v>
      </c>
      <c r="B70" s="25">
        <v>1</v>
      </c>
      <c r="C70" s="25" t="s">
        <v>132</v>
      </c>
      <c r="D70" s="25" t="s">
        <v>11</v>
      </c>
      <c r="E70" s="14" t="b">
        <v>1</v>
      </c>
    </row>
    <row r="71" spans="1:11" x14ac:dyDescent="0.3">
      <c r="A71" s="13">
        <v>2</v>
      </c>
      <c r="B71" s="25">
        <v>1</v>
      </c>
      <c r="C71" s="25" t="s">
        <v>131</v>
      </c>
      <c r="D71" s="25" t="s">
        <v>11</v>
      </c>
      <c r="E71" s="14" t="b">
        <v>1</v>
      </c>
    </row>
    <row r="72" spans="1:11" ht="15" thickBot="1" x14ac:dyDescent="0.35">
      <c r="A72" s="15">
        <v>3</v>
      </c>
      <c r="B72" s="16">
        <v>1</v>
      </c>
      <c r="C72" s="16" t="s">
        <v>133</v>
      </c>
      <c r="D72" s="16" t="s">
        <v>11</v>
      </c>
      <c r="E72" s="17" t="b">
        <v>1</v>
      </c>
    </row>
    <row r="74" spans="1:11" ht="15" thickBot="1" x14ac:dyDescent="0.35"/>
    <row r="75" spans="1:11" x14ac:dyDescent="0.3">
      <c r="A75" s="22" t="s">
        <v>140</v>
      </c>
      <c r="B75" s="23"/>
      <c r="C75" s="23"/>
      <c r="D75" s="23"/>
      <c r="E75" s="23"/>
      <c r="F75" s="23"/>
      <c r="G75" s="23"/>
      <c r="H75" s="23"/>
      <c r="I75" s="23"/>
      <c r="J75" s="24"/>
    </row>
    <row r="76" spans="1:11" x14ac:dyDescent="0.3">
      <c r="A76" s="13" t="s">
        <v>1</v>
      </c>
      <c r="B76" s="25" t="s">
        <v>87</v>
      </c>
      <c r="C76" s="25" t="s">
        <v>142</v>
      </c>
      <c r="D76" s="25" t="s">
        <v>88</v>
      </c>
      <c r="E76" s="25" t="s">
        <v>145</v>
      </c>
      <c r="F76" s="25" t="s">
        <v>147</v>
      </c>
      <c r="G76" s="25" t="s">
        <v>89</v>
      </c>
      <c r="H76" s="25" t="s">
        <v>149</v>
      </c>
      <c r="I76" s="25" t="s">
        <v>151</v>
      </c>
      <c r="J76" s="14" t="s">
        <v>3</v>
      </c>
    </row>
    <row r="77" spans="1:11" ht="15" thickBot="1" x14ac:dyDescent="0.35">
      <c r="A77" s="15">
        <v>1</v>
      </c>
      <c r="B77" s="16" t="s">
        <v>141</v>
      </c>
      <c r="C77" s="16" t="s">
        <v>143</v>
      </c>
      <c r="D77" s="16" t="s">
        <v>144</v>
      </c>
      <c r="E77" s="16" t="s">
        <v>146</v>
      </c>
      <c r="F77" s="16" t="s">
        <v>148</v>
      </c>
      <c r="G77" s="16">
        <v>2</v>
      </c>
      <c r="H77" s="16" t="s">
        <v>150</v>
      </c>
      <c r="I77" s="16" t="s">
        <v>152</v>
      </c>
      <c r="J77" s="17" t="b">
        <v>1</v>
      </c>
    </row>
  </sheetData>
  <mergeCells count="20">
    <mergeCell ref="A47:D47"/>
    <mergeCell ref="I26:K26"/>
    <mergeCell ref="F47:L47"/>
    <mergeCell ref="H40:L40"/>
    <mergeCell ref="A54:I54"/>
    <mergeCell ref="A40:F40"/>
    <mergeCell ref="A61:E61"/>
    <mergeCell ref="G61:K61"/>
    <mergeCell ref="A68:E68"/>
    <mergeCell ref="A75:J75"/>
    <mergeCell ref="L12:O12"/>
    <mergeCell ref="A19:D19"/>
    <mergeCell ref="A12:E12"/>
    <mergeCell ref="A33:I33"/>
    <mergeCell ref="I5:K5"/>
    <mergeCell ref="A5:G5"/>
    <mergeCell ref="G12:J12"/>
    <mergeCell ref="A26:G26"/>
    <mergeCell ref="F19:L19"/>
    <mergeCell ref="K33:N33"/>
  </mergeCells>
  <phoneticPr fontId="2" type="noConversion"/>
  <pageMargins left="0.7" right="0.7" top="0.75" bottom="0.75" header="0.3" footer="0.3"/>
  <pageSetup paperSize="9" orientation="portrait" r:id="rId1"/>
  <legacyDrawing r:id="rId2"/>
  <tableParts count="2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2026-02-26T21:35:40Z</dcterms:modified>
</cp:coreProperties>
</file>
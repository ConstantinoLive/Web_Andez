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92356208-C0CC-4CA9-95F3-8F0451E5DED0}" xr6:coauthVersionLast="47" xr6:coauthVersionMax="47" xr10:uidLastSave="{00000000-0000-0000-0000-000000000000}"/>
  <bookViews>
    <workbookView xWindow="-108" yWindow="-108" windowWidth="23256" windowHeight="12456" xr2:uid="{5D42B345-DB14-48C1-9A38-23908D3120E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4" i="1"/>
</calcChain>
</file>

<file path=xl/sharedStrings.xml><?xml version="1.0" encoding="utf-8"?>
<sst xmlns="http://schemas.openxmlformats.org/spreadsheetml/2006/main" count="201" uniqueCount="112">
  <si>
    <t>Color</t>
  </si>
  <si>
    <t>ID</t>
  </si>
  <si>
    <t>NombreColor</t>
  </si>
  <si>
    <t>Activo</t>
  </si>
  <si>
    <t>Cromo</t>
  </si>
  <si>
    <t>Negro</t>
  </si>
  <si>
    <t>Bronce Viejo</t>
  </si>
  <si>
    <t>Linea</t>
  </si>
  <si>
    <t>NombreLinea</t>
  </si>
  <si>
    <t>CodigoLinea</t>
  </si>
  <si>
    <t>URLColor</t>
  </si>
  <si>
    <t>www</t>
  </si>
  <si>
    <t>Atribitos</t>
  </si>
  <si>
    <t>URLIcono</t>
  </si>
  <si>
    <t>NombreAtributo</t>
  </si>
  <si>
    <t>Facil instalacion</t>
  </si>
  <si>
    <t>100% metalico</t>
  </si>
  <si>
    <t>Antimovimiento</t>
  </si>
  <si>
    <t>Linea Match</t>
  </si>
  <si>
    <t>Linea Giraffe</t>
  </si>
  <si>
    <t>Linea Jazz</t>
  </si>
  <si>
    <t>Articulo</t>
  </si>
  <si>
    <t>CodigoArticulo</t>
  </si>
  <si>
    <t>NombreArticulo</t>
  </si>
  <si>
    <t>Bidet</t>
  </si>
  <si>
    <t>Llave de paso</t>
  </si>
  <si>
    <t>Lavatorio de apoyo</t>
  </si>
  <si>
    <t>CodigoColor</t>
  </si>
  <si>
    <t>04</t>
  </si>
  <si>
    <t>07</t>
  </si>
  <si>
    <t>05</t>
  </si>
  <si>
    <t>ManualInstalacion</t>
  </si>
  <si>
    <t>IDLinea</t>
  </si>
  <si>
    <t>IDArticulo</t>
  </si>
  <si>
    <t>URLManual</t>
  </si>
  <si>
    <t>ExplotadaRepuestos</t>
  </si>
  <si>
    <t>URLRepuestos</t>
  </si>
  <si>
    <t>IdLinea</t>
  </si>
  <si>
    <t>IdArticulo</t>
  </si>
  <si>
    <t>Planos</t>
  </si>
  <si>
    <t>URLPlano</t>
  </si>
  <si>
    <t>Catagolos</t>
  </si>
  <si>
    <t>URLCatalogo</t>
  </si>
  <si>
    <t>Usuarios</t>
  </si>
  <si>
    <t>Nombre</t>
  </si>
  <si>
    <t>Apellido</t>
  </si>
  <si>
    <t>Mail</t>
  </si>
  <si>
    <t>Fernando</t>
  </si>
  <si>
    <t>Clingo</t>
  </si>
  <si>
    <t>Lucas</t>
  </si>
  <si>
    <t>Adler</t>
  </si>
  <si>
    <t>Analia</t>
  </si>
  <si>
    <t>Petroco</t>
  </si>
  <si>
    <t>Pass</t>
  </si>
  <si>
    <t>Rol</t>
  </si>
  <si>
    <t>Master</t>
  </si>
  <si>
    <t>Postventa</t>
  </si>
  <si>
    <t>Marketing</t>
  </si>
  <si>
    <t>NombreRol</t>
  </si>
  <si>
    <t>pass1</t>
  </si>
  <si>
    <t>pass2</t>
  </si>
  <si>
    <t>pass3</t>
  </si>
  <si>
    <t>Producto</t>
  </si>
  <si>
    <t>IdColor</t>
  </si>
  <si>
    <t>Descripcion</t>
  </si>
  <si>
    <t>Lorem ipsum dolor sit amet</t>
  </si>
  <si>
    <t>TipoProducto</t>
  </si>
  <si>
    <t>Tipo</t>
  </si>
  <si>
    <t>Bimando</t>
  </si>
  <si>
    <t>Monocomando</t>
  </si>
  <si>
    <t>Accesorio</t>
  </si>
  <si>
    <t>IdTipoProducto</t>
  </si>
  <si>
    <t>URLImagenSinFondo</t>
  </si>
  <si>
    <t>URLPortadaCatalogo</t>
  </si>
  <si>
    <t>Pais</t>
  </si>
  <si>
    <t>Paises</t>
  </si>
  <si>
    <t>Argentina</t>
  </si>
  <si>
    <t>Uruguay</t>
  </si>
  <si>
    <t>Paraguay</t>
  </si>
  <si>
    <t>Provincias</t>
  </si>
  <si>
    <t>Pronvincia</t>
  </si>
  <si>
    <t>IdPais</t>
  </si>
  <si>
    <t>Latitud</t>
  </si>
  <si>
    <t>Longitud</t>
  </si>
  <si>
    <t>Zoom</t>
  </si>
  <si>
    <t>Capital Federal</t>
  </si>
  <si>
    <t>Buenos Aires</t>
  </si>
  <si>
    <t>-34.6037</t>
  </si>
  <si>
    <t>-36.6769</t>
  </si>
  <si>
    <t>-43.2934</t>
  </si>
  <si>
    <t>PaginaDistribuidores</t>
  </si>
  <si>
    <t>URLPaginaDistribuidor</t>
  </si>
  <si>
    <t>URLLogo</t>
  </si>
  <si>
    <t>Distribuidores</t>
  </si>
  <si>
    <t>RazonSocial</t>
  </si>
  <si>
    <t>Direccion</t>
  </si>
  <si>
    <t>IdProvincia</t>
  </si>
  <si>
    <t>Telefono</t>
  </si>
  <si>
    <t>IdPagina</t>
  </si>
  <si>
    <t>Domus</t>
  </si>
  <si>
    <t>Blaisten Martinez</t>
  </si>
  <si>
    <t>Blaisten Palermo</t>
  </si>
  <si>
    <t>www.blaisten.com</t>
  </si>
  <si>
    <t>www.domus.com</t>
  </si>
  <si>
    <t>www.fedan.com</t>
  </si>
  <si>
    <t>Santa Fe</t>
  </si>
  <si>
    <t>5555-4554</t>
  </si>
  <si>
    <t>6556-1122</t>
  </si>
  <si>
    <t>4454-1222</t>
  </si>
  <si>
    <t>San Martin 1150</t>
  </si>
  <si>
    <t>Belgrano 5487</t>
  </si>
  <si>
    <t>Zapiola 987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</si>
</sst>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49" fontId="0" fillId="0" borderId="0" xfId="0" applyNumberFormat="1"/>
    <xf numFmtId="49" fontId="0" fillId="0" borderId="8" xfId="0" applyNumberFormat="1" applyBorder="1"/>
    <xf numFmtId="0" fontId="0" fillId="2" borderId="6" xfId="0" applyFill="1" applyBorder="1"/>
    <xf numFmtId="0" fontId="0" fillId="2" borderId="9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0" xfId="0" applyFill="1"/>
  </cellXfs>
  <cellStyles count="1">
    <cellStyle name="Normal" xfId="0" builtinId="0"/>
  </cellStyles>
  <dxfs count="10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6833EF-4E6F-4FA0-A7A0-6E6817E2B38A}" name="Tabla1" displayName="Tabla1" ref="A10:E13" totalsRowShown="0">
  <autoFilter ref="A10:E13" xr:uid="{D96833EF-4E6F-4FA0-A7A0-6E6817E2B38A}"/>
  <tableColumns count="5">
    <tableColumn id="1" xr3:uid="{317907DD-843B-4FA4-8837-A0A78A4A0507}" name="ID"/>
    <tableColumn id="5" xr3:uid="{E0921BEC-D870-4C51-B3FC-23E013804DC3}" name="CodigoColor" dataDxfId="9"/>
    <tableColumn id="2" xr3:uid="{8053C3DC-ACA4-4AAB-9AFB-34FBDDEBC52B}" name="NombreColor"/>
    <tableColumn id="4" xr3:uid="{1D3A10F0-E8C4-471A-B4A8-2001816AFFF2}" name="URLColor"/>
    <tableColumn id="3" xr3:uid="{D04813E9-6E48-439B-A711-735DEB41533C}" name="Activ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307171-21C3-4D19-9190-21EBBEF7C7BE}" name="Tabla13" displayName="Tabla13" ref="G10:J13" totalsRowShown="0">
  <autoFilter ref="G10:J13" xr:uid="{5C307171-21C3-4D19-9190-21EBBEF7C7BE}"/>
  <tableColumns count="4">
    <tableColumn id="1" xr3:uid="{68AE05C3-BABF-43F5-8570-0421BA4C67E8}" name="ID"/>
    <tableColumn id="4" xr3:uid="{59F766FF-BD10-4A8B-9F9F-31F1C7687013}" name="CodigoLinea"/>
    <tableColumn id="2" xr3:uid="{6F05575C-428D-4038-A5FF-312E257A42E9}" name="NombreLinea"/>
    <tableColumn id="3" xr3:uid="{B831A1C2-04F5-4FEF-939E-BB8F988F8105}" name="Activ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BE8E47-D1D9-436F-87A2-5F1A6301B5E5}" name="Tabla14" displayName="Tabla14" ref="L10:O13" totalsRowShown="0">
  <autoFilter ref="L10:O13" xr:uid="{43BE8E47-D1D9-436F-87A2-5F1A6301B5E5}"/>
  <tableColumns count="4">
    <tableColumn id="1" xr3:uid="{1CA967F6-5220-415A-8D46-EDE2F99DB4E7}" name="ID"/>
    <tableColumn id="2" xr3:uid="{85968E26-C5C2-48F7-940F-A91CDCD7A74E}" name="NombreAtributo"/>
    <tableColumn id="4" xr3:uid="{C4964F78-D309-4AE6-B95D-45255CE7F137}" name="URLIcono"/>
    <tableColumn id="3" xr3:uid="{2A6901F1-A742-463F-9839-9AF01406419A}" name="Activ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93F9B0B-4EAC-4696-9C48-7CF3279FF43E}" name="Tabla136" displayName="Tabla136" ref="A17:D20" totalsRowShown="0">
  <autoFilter ref="A17:D20" xr:uid="{E93F9B0B-4EAC-4696-9C48-7CF3279FF43E}"/>
  <tableColumns count="4">
    <tableColumn id="1" xr3:uid="{B247D060-56D9-4D4D-BC13-0360ED25350B}" name="ID"/>
    <tableColumn id="4" xr3:uid="{1474AB8E-E5FE-4771-8CC8-E20C35E99A31}" name="CodigoArticulo"/>
    <tableColumn id="2" xr3:uid="{B62CA844-EA2B-45F2-81DE-0E4DA97CAB0C}" name="NombreArticulo"/>
    <tableColumn id="3" xr3:uid="{5E578CC4-F599-429C-83E0-503501B7A644}" name="Activ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7C16AE-1BA5-492E-ADA8-1AF74DE3B1D8}" name="Tabla6" displayName="Tabla6" ref="F17:J20" totalsRowShown="0">
  <autoFilter ref="F17:J20" xr:uid="{917C16AE-1BA5-492E-ADA8-1AF74DE3B1D8}"/>
  <tableColumns count="5">
    <tableColumn id="1" xr3:uid="{2465B3C3-AF86-439D-9B32-59BFDC73E6B7}" name="ID"/>
    <tableColumn id="2" xr3:uid="{A9F2D02E-9CE3-4EB1-8991-D57071D10D31}" name="IDLinea"/>
    <tableColumn id="3" xr3:uid="{3CBF8077-7A4D-4703-9A5E-186FFA3C80B6}" name="IDArticulo"/>
    <tableColumn id="4" xr3:uid="{33CF0639-7E0E-4323-ABAC-57E9E79BAC94}" name="URLManual"/>
    <tableColumn id="5" xr3:uid="{9FBFC04D-E638-4A8E-BF60-60BF85B463B6}" name="Activo" dataDxfId="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6BF1AA-70DA-4278-A598-0694BB8FD10B}" name="Tabla68" displayName="Tabla68" ref="L17:P20" totalsRowShown="0">
  <autoFilter ref="L17:P20" xr:uid="{4B6BF1AA-70DA-4278-A598-0694BB8FD10B}"/>
  <tableColumns count="5">
    <tableColumn id="1" xr3:uid="{29338C8B-85C2-435C-A7B9-D7E3FC07A90B}" name="ID"/>
    <tableColumn id="2" xr3:uid="{E70AA12D-87BD-4E9F-A656-8F36D15B39A7}" name="IDLinea"/>
    <tableColumn id="3" xr3:uid="{DA4B61F5-5DA1-4F90-B5A5-AB5AD25A2A5C}" name="IDArticulo"/>
    <tableColumn id="4" xr3:uid="{3737C6F3-60D1-4317-A99B-6834C988F3D2}" name="URLRepuestos"/>
    <tableColumn id="5" xr3:uid="{7710F2DD-B8B1-478C-BDF9-297A43A69EB3}" name="Activo" dataDxfId="7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4C4CDD-8B1A-42EB-B17A-76284007E9BB}" name="Tabla8" displayName="Tabla8" ref="A24:E27" totalsRowShown="0">
  <autoFilter ref="A24:E27" xr:uid="{0E4C4CDD-8B1A-42EB-B17A-76284007E9BB}"/>
  <tableColumns count="5">
    <tableColumn id="1" xr3:uid="{B5389DD5-2E0F-428A-B94A-334E7D89D91F}" name="ID"/>
    <tableColumn id="2" xr3:uid="{E1437B8A-51E8-4A20-9987-1B5BFBE2FB72}" name="IdLinea"/>
    <tableColumn id="3" xr3:uid="{4D122EB1-B88E-4987-8DC0-22A88FC0C023}" name="IdArticulo"/>
    <tableColumn id="4" xr3:uid="{EBD128C0-F73D-47FD-B93A-D6DE0F8789EB}" name="URLPlano"/>
    <tableColumn id="5" xr3:uid="{E61652E6-A9A9-4854-B439-E390FBDCD8A1}" name="Activo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44C573D-2F54-4371-9E05-AC6C5BF3DEB9}" name="Tabla9" displayName="Tabla9" ref="G24:L27" totalsRowShown="0">
  <autoFilter ref="G24:L27" xr:uid="{444C573D-2F54-4371-9E05-AC6C5BF3DEB9}"/>
  <tableColumns count="6">
    <tableColumn id="1" xr3:uid="{F76EC170-46E9-4663-A823-2D12555F5929}" name="ID"/>
    <tableColumn id="2" xr3:uid="{AF8AF063-458B-4011-935C-9BE59CDAC049}" name="IdLinea"/>
    <tableColumn id="7" xr3:uid="{7CB1A4AD-75EA-4DBB-9D7F-D5EB918E41E7}" name="IdTipoProducto"/>
    <tableColumn id="6" xr3:uid="{11F640C2-28CC-4C58-B92E-E1FC7591679B}" name="URLPortadaCatalogo"/>
    <tableColumn id="3" xr3:uid="{6E18E1E2-D428-4B63-BF66-7CD91872A457}" name="URLCatalogo"/>
    <tableColumn id="4" xr3:uid="{F759632D-1FAF-4E10-B366-974627C36691}" name="Activo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F67F5D-77F7-41B7-A265-5E336044A6C5}" name="Tabla15" displayName="Tabla15" ref="A3:G6" totalsRowShown="0">
  <autoFilter ref="A3:G6" xr:uid="{00F67F5D-77F7-41B7-A265-5E336044A6C5}"/>
  <tableColumns count="7">
    <tableColumn id="1" xr3:uid="{F32EBD58-4145-475F-A8DD-60533C773560}" name="ID"/>
    <tableColumn id="5" xr3:uid="{BA938A3C-223C-48BE-9D99-D519D9B88EDF}" name="Nombre" dataDxfId="6"/>
    <tableColumn id="2" xr3:uid="{BF58FE61-5919-4F9C-BC69-7F6F4B0BCCB1}" name="Apellido"/>
    <tableColumn id="4" xr3:uid="{B217BF12-7466-47C6-83EC-0600B0F7EE4B}" name="Mail">
      <calculatedColumnFormula>CONCATENATE(Tabla15[[#This Row],[Nombre]],Tabla15[[#This Row],[Apellido]],"@andez.com.ar")</calculatedColumnFormula>
    </tableColumn>
    <tableColumn id="7" xr3:uid="{E6685580-108B-41B0-8A5A-4C86196B0BE1}" name="Pass"/>
    <tableColumn id="6" xr3:uid="{E75EBA41-FF6A-4A2A-BCBE-F5043BE4BB25}" name="Rol"/>
    <tableColumn id="3" xr3:uid="{4CBF3E4F-4092-4764-8AB5-1C537D572D44}" name="Activo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102B214-F2E2-4E21-B4A5-0BA8B382E09A}" name="Tabla1311" displayName="Tabla1311" ref="I3:K6" totalsRowShown="0">
  <autoFilter ref="I3:K6" xr:uid="{2102B214-F2E2-4E21-B4A5-0BA8B382E09A}"/>
  <tableColumns count="3">
    <tableColumn id="1" xr3:uid="{178377D0-D1D1-4F7B-AB43-13C5F237945D}" name="ID"/>
    <tableColumn id="2" xr3:uid="{08858ABF-8A7D-4B96-9D72-835B85CC5E74}" name="NombreRol"/>
    <tableColumn id="3" xr3:uid="{EE3DFDEC-9C62-498D-8488-7722C3BC5547}" name="Activo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B3327E-5FDA-4BB7-AACF-FABE81E48666}" name="Tabla11" displayName="Tabla11" ref="N24:P27" totalsRowShown="0">
  <autoFilter ref="N24:P27" xr:uid="{F6B3327E-5FDA-4BB7-AACF-FABE81E48666}"/>
  <tableColumns count="3">
    <tableColumn id="1" xr3:uid="{26F76265-568B-4A28-AA28-6DA1CF7F5397}" name="ID"/>
    <tableColumn id="2" xr3:uid="{A81F65B5-D9C2-4F7A-9651-B297627921BE}" name="Tipo"/>
    <tableColumn id="3" xr3:uid="{6BF61F58-B964-4C51-B2A6-1D6E99603A94}" name="Activo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948E125-4D16-4012-9F79-63437C954797}" name="Tabla12" displayName="Tabla12" ref="A31:I34" totalsRowShown="0">
  <autoFilter ref="A31:I34" xr:uid="{C948E125-4D16-4012-9F79-63437C954797}"/>
  <tableColumns count="9">
    <tableColumn id="1" xr3:uid="{BD0E8C6A-3C45-49E2-AB49-91B099BD2122}" name="ID"/>
    <tableColumn id="2" xr3:uid="{E5890F45-7791-44F9-8046-3CC124D03A32}" name="IdLinea"/>
    <tableColumn id="3" xr3:uid="{516F3A39-1E5C-4E02-A2AD-8F0BBB41EB3A}" name="IdArticulo"/>
    <tableColumn id="4" xr3:uid="{98D516C7-8443-490C-BC98-89A62FECFE29}" name="Nombre"/>
    <tableColumn id="5" xr3:uid="{87C9AA3F-6BA4-4E22-8E82-15E97E6D50FC}" name="Descripcion"/>
    <tableColumn id="6" xr3:uid="{C06ABFA7-CFE1-4192-B78E-76126E924EE2}" name="IdColor"/>
    <tableColumn id="7" xr3:uid="{8A3460C8-C859-46D9-A894-FAAD27C5355E}" name="IdTipoProducto"/>
    <tableColumn id="8" xr3:uid="{BEF156AE-3159-4D3E-89DC-BAEE08FD8A77}" name="URLImagenSinFondo"/>
    <tableColumn id="9" xr3:uid="{861CF468-6400-4AEF-A8D2-F55987D2F232}" name="Activo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1CB6618-AB30-4CE3-B30A-6938E6F1145F}" name="Tabla16" displayName="Tabla16" ref="A38:F41" totalsRowShown="0">
  <autoFilter ref="A38:F41" xr:uid="{81CB6618-AB30-4CE3-B30A-6938E6F1145F}"/>
  <tableColumns count="6">
    <tableColumn id="1" xr3:uid="{C6605137-9E60-4417-BE9D-22DF41FEA57D}" name="ID"/>
    <tableColumn id="2" xr3:uid="{D82CDF84-BD14-4C63-ABBA-8F2236A9C0E4}" name="Pais"/>
    <tableColumn id="3" xr3:uid="{FA78D055-E341-4362-A23A-0CCFC591E8FA}" name="Latitud" dataDxfId="1"/>
    <tableColumn id="4" xr3:uid="{36EB177E-ACE1-4B78-A56A-A9F891312B25}" name="Longitud" dataDxfId="0"/>
    <tableColumn id="5" xr3:uid="{4122267C-292B-476B-8AB1-41CBE8A90AAF}" name="Zoom"/>
    <tableColumn id="7" xr3:uid="{0270C110-04E9-4179-AF06-958CA4E37E9B}" name="Activo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F32F6B3-AC45-462F-BE18-EFE2DD57FE9B}" name="Tabla17" displayName="Tabla17" ref="H38:N41" totalsRowShown="0">
  <autoFilter ref="H38:N41" xr:uid="{EF32F6B3-AC45-462F-BE18-EFE2DD57FE9B}"/>
  <tableColumns count="7">
    <tableColumn id="1" xr3:uid="{C8F6ED57-5FD2-4FB3-A4A5-BC3965E98B15}" name="ID"/>
    <tableColumn id="2" xr3:uid="{65B99387-EDCD-429B-B81B-A4F58479A304}" name="Pronvincia"/>
    <tableColumn id="3" xr3:uid="{5D9C0348-2DF4-47CC-977C-AAFB9F19E959}" name="IdPais"/>
    <tableColumn id="4" xr3:uid="{1CACB54F-DC9D-41AC-A04F-171EF34060DC}" name="Latitud" dataDxfId="5"/>
    <tableColumn id="5" xr3:uid="{3B6E819E-C954-42AC-9CC9-0EEA24549D95}" name="Longitud" dataDxfId="4"/>
    <tableColumn id="6" xr3:uid="{59CB0767-E84E-48E3-B767-B9C174D78F98}" name="Zoom"/>
    <tableColumn id="7" xr3:uid="{824500A6-D872-42FD-9C38-60CB54869E2F}" name="Activo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A76B83A-5CAA-44B8-B4B3-ACD657CD503E}" name="Tabla1617" displayName="Tabla1617" ref="A45:D48" totalsRowShown="0">
  <autoFilter ref="A45:D48" xr:uid="{3A76B83A-5CAA-44B8-B4B3-ACD657CD503E}"/>
  <tableColumns count="4">
    <tableColumn id="1" xr3:uid="{D7179099-54E6-49F3-8F59-442A5D0581CB}" name="ID"/>
    <tableColumn id="2" xr3:uid="{5E47EA42-619C-4E41-8AB4-D27AE93B62D5}" name="URLPaginaDistribuidor"/>
    <tableColumn id="3" xr3:uid="{3DD61CD5-6488-41C7-BB9A-29A78F1DDB38}" name="URLLogo"/>
    <tableColumn id="7" xr3:uid="{B1D0386F-1AF3-4032-898D-2999B1416A75}" name="Activo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4F87D6B-7A82-4430-960F-AC240B40C11C}" name="Tabla18" displayName="Tabla18" ref="A52:I55" totalsRowShown="0">
  <autoFilter ref="A52:I55" xr:uid="{04F87D6B-7A82-4430-960F-AC240B40C11C}"/>
  <tableColumns count="9">
    <tableColumn id="1" xr3:uid="{C437CB56-2117-4AF6-83DD-535B7DF46C17}" name="ID"/>
    <tableColumn id="2" xr3:uid="{6C22825E-C1CE-4586-81A5-E8191FE46EFB}" name="RazonSocial"/>
    <tableColumn id="3" xr3:uid="{650899D4-4E19-437F-9FCF-B4D26F2AA0DB}" name="Direccion"/>
    <tableColumn id="4" xr3:uid="{1E07E83B-09DC-40FD-907E-40F4CBC0A570}" name="IdProvincia"/>
    <tableColumn id="5" xr3:uid="{6138418F-A367-4A68-8F05-2638E82A22BC}" name="Telefono"/>
    <tableColumn id="6" xr3:uid="{80260CDA-43B3-49C5-B2E8-6D4D4EE4367B}" name="Latitud" dataDxfId="3"/>
    <tableColumn id="7" xr3:uid="{D1025C6A-57D3-4E57-916D-CF79774C6EAF}" name="Longitud" dataDxfId="2"/>
    <tableColumn id="8" xr3:uid="{FACFCBBE-C8C5-4011-911D-7F4D64577C47}" name="IdPagina"/>
    <tableColumn id="9" xr3:uid="{3EE8280A-E1AE-43CB-8AA3-681D1032743D}" name="Activ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50C1D-1850-4BF9-ABCF-FA1A23EC1542}">
  <dimension ref="A1:P55"/>
  <sheetViews>
    <sheetView tabSelected="1" topLeftCell="A6" workbookViewId="0">
      <selection activeCell="E44" sqref="E44"/>
    </sheetView>
  </sheetViews>
  <sheetFormatPr baseColWidth="10" defaultRowHeight="14.4" x14ac:dyDescent="0.3"/>
  <cols>
    <col min="1" max="1" width="5" bestFit="1" customWidth="1"/>
    <col min="2" max="2" width="22.109375" bestFit="1" customWidth="1"/>
    <col min="3" max="3" width="16.5546875" bestFit="1" customWidth="1"/>
    <col min="4" max="4" width="26.77734375" bestFit="1" customWidth="1"/>
    <col min="5" max="5" width="22.6640625" bestFit="1" customWidth="1"/>
    <col min="6" max="6" width="11.21875" bestFit="1" customWidth="1"/>
    <col min="7" max="7" width="16" bestFit="1" customWidth="1"/>
    <col min="8" max="8" width="20.44140625" bestFit="1" customWidth="1"/>
    <col min="9" max="9" width="16" bestFit="1" customWidth="1"/>
    <col min="10" max="10" width="20.44140625" bestFit="1" customWidth="1"/>
    <col min="11" max="11" width="13.77734375" bestFit="1" customWidth="1"/>
    <col min="12" max="12" width="11.21875" bestFit="1" customWidth="1"/>
    <col min="13" max="13" width="16.77734375" bestFit="1" customWidth="1"/>
    <col min="14" max="14" width="11.5546875" bestFit="1" customWidth="1"/>
    <col min="15" max="15" width="15.109375" bestFit="1" customWidth="1"/>
    <col min="16" max="16" width="11.21875" bestFit="1" customWidth="1"/>
  </cols>
  <sheetData>
    <row r="1" spans="1:16" ht="15" thickBot="1" x14ac:dyDescent="0.35"/>
    <row r="2" spans="1:16" x14ac:dyDescent="0.3">
      <c r="A2" s="11" t="s">
        <v>43</v>
      </c>
      <c r="B2" s="12"/>
      <c r="C2" s="12"/>
      <c r="D2" s="12"/>
      <c r="E2" s="12"/>
      <c r="F2" s="12"/>
      <c r="G2" s="13"/>
      <c r="I2" s="11" t="s">
        <v>54</v>
      </c>
      <c r="J2" s="12"/>
      <c r="K2" s="13"/>
    </row>
    <row r="3" spans="1:16" x14ac:dyDescent="0.3">
      <c r="A3" s="2" t="s">
        <v>1</v>
      </c>
      <c r="B3" t="s">
        <v>44</v>
      </c>
      <c r="C3" t="s">
        <v>45</v>
      </c>
      <c r="D3" t="s">
        <v>46</v>
      </c>
      <c r="E3" t="s">
        <v>53</v>
      </c>
      <c r="F3" t="s">
        <v>54</v>
      </c>
      <c r="G3" s="3" t="s">
        <v>3</v>
      </c>
      <c r="I3" s="2" t="s">
        <v>1</v>
      </c>
      <c r="J3" t="s">
        <v>58</v>
      </c>
      <c r="K3" s="3" t="s">
        <v>3</v>
      </c>
    </row>
    <row r="4" spans="1:16" x14ac:dyDescent="0.3">
      <c r="A4" s="2">
        <v>1</v>
      </c>
      <c r="B4" s="7" t="s">
        <v>47</v>
      </c>
      <c r="C4" t="s">
        <v>48</v>
      </c>
      <c r="D4" t="str">
        <f>CONCATENATE(Tabla15[[#This Row],[Nombre]],Tabla15[[#This Row],[Apellido]],"@andez.com.ar")</f>
        <v>FernandoClingo@andez.com.ar</v>
      </c>
      <c r="E4" t="s">
        <v>59</v>
      </c>
      <c r="F4">
        <v>1</v>
      </c>
      <c r="G4" s="3" t="b">
        <v>1</v>
      </c>
      <c r="I4" s="2">
        <v>1</v>
      </c>
      <c r="J4" t="s">
        <v>55</v>
      </c>
      <c r="K4" s="3" t="b">
        <v>1</v>
      </c>
    </row>
    <row r="5" spans="1:16" x14ac:dyDescent="0.3">
      <c r="A5" s="2">
        <v>2</v>
      </c>
      <c r="B5" s="7" t="s">
        <v>49</v>
      </c>
      <c r="C5" t="s">
        <v>50</v>
      </c>
      <c r="D5" t="str">
        <f>CONCATENATE(Tabla15[[#This Row],[Nombre]],Tabla15[[#This Row],[Apellido]],"@andez.com.ar")</f>
        <v>LucasAdler@andez.com.ar</v>
      </c>
      <c r="E5" t="s">
        <v>60</v>
      </c>
      <c r="F5">
        <v>2</v>
      </c>
      <c r="G5" s="3" t="b">
        <v>1</v>
      </c>
      <c r="I5" s="2">
        <v>2</v>
      </c>
      <c r="J5" t="s">
        <v>56</v>
      </c>
      <c r="K5" s="3" t="b">
        <v>1</v>
      </c>
    </row>
    <row r="6" spans="1:16" ht="15" thickBot="1" x14ac:dyDescent="0.35">
      <c r="A6" s="4">
        <v>3</v>
      </c>
      <c r="B6" s="8" t="s">
        <v>51</v>
      </c>
      <c r="C6" s="5" t="s">
        <v>52</v>
      </c>
      <c r="D6" s="5" t="str">
        <f>CONCATENATE(Tabla15[[#This Row],[Nombre]],Tabla15[[#This Row],[Apellido]],"@andez.com.ar")</f>
        <v>AnaliaPetroco@andez.com.ar</v>
      </c>
      <c r="E6" s="5" t="s">
        <v>61</v>
      </c>
      <c r="F6" s="5">
        <v>3</v>
      </c>
      <c r="G6" s="6" t="b">
        <v>1</v>
      </c>
      <c r="I6" s="4">
        <v>3</v>
      </c>
      <c r="J6" s="5" t="s">
        <v>57</v>
      </c>
      <c r="K6" s="6" t="b">
        <v>1</v>
      </c>
    </row>
    <row r="8" spans="1:16" ht="15" thickBot="1" x14ac:dyDescent="0.35"/>
    <row r="9" spans="1:16" x14ac:dyDescent="0.3">
      <c r="A9" s="14" t="s">
        <v>0</v>
      </c>
      <c r="B9" s="15"/>
      <c r="C9" s="15"/>
      <c r="D9" s="15"/>
      <c r="E9" s="16"/>
      <c r="G9" s="14" t="s">
        <v>7</v>
      </c>
      <c r="H9" s="15"/>
      <c r="I9" s="15"/>
      <c r="J9" s="16"/>
      <c r="L9" s="14" t="s">
        <v>12</v>
      </c>
      <c r="M9" s="15"/>
      <c r="N9" s="15"/>
      <c r="O9" s="16"/>
    </row>
    <row r="10" spans="1:16" x14ac:dyDescent="0.3">
      <c r="A10" s="2" t="s">
        <v>1</v>
      </c>
      <c r="B10" t="s">
        <v>27</v>
      </c>
      <c r="C10" t="s">
        <v>2</v>
      </c>
      <c r="D10" t="s">
        <v>10</v>
      </c>
      <c r="E10" s="3" t="s">
        <v>3</v>
      </c>
      <c r="G10" s="2" t="s">
        <v>1</v>
      </c>
      <c r="H10" t="s">
        <v>9</v>
      </c>
      <c r="I10" t="s">
        <v>8</v>
      </c>
      <c r="J10" s="3" t="s">
        <v>3</v>
      </c>
      <c r="L10" s="2" t="s">
        <v>1</v>
      </c>
      <c r="M10" t="s">
        <v>14</v>
      </c>
      <c r="N10" t="s">
        <v>13</v>
      </c>
      <c r="O10" s="3" t="s">
        <v>3</v>
      </c>
    </row>
    <row r="11" spans="1:16" x14ac:dyDescent="0.3">
      <c r="A11" s="2">
        <v>1</v>
      </c>
      <c r="B11" s="7" t="s">
        <v>28</v>
      </c>
      <c r="C11" t="s">
        <v>4</v>
      </c>
      <c r="D11" t="s">
        <v>11</v>
      </c>
      <c r="E11" s="3" t="b">
        <v>1</v>
      </c>
      <c r="G11" s="2">
        <v>1</v>
      </c>
      <c r="H11">
        <v>19</v>
      </c>
      <c r="I11" t="s">
        <v>18</v>
      </c>
      <c r="J11" s="3" t="b">
        <v>1</v>
      </c>
      <c r="L11" s="2">
        <v>1</v>
      </c>
      <c r="M11" t="s">
        <v>15</v>
      </c>
      <c r="N11" t="s">
        <v>11</v>
      </c>
      <c r="O11" s="3" t="b">
        <v>1</v>
      </c>
    </row>
    <row r="12" spans="1:16" x14ac:dyDescent="0.3">
      <c r="A12" s="2">
        <v>2</v>
      </c>
      <c r="B12" s="7" t="s">
        <v>29</v>
      </c>
      <c r="C12" t="s">
        <v>5</v>
      </c>
      <c r="D12" t="s">
        <v>11</v>
      </c>
      <c r="E12" s="3" t="b">
        <v>1</v>
      </c>
      <c r="G12" s="2">
        <v>2</v>
      </c>
      <c r="H12">
        <v>22</v>
      </c>
      <c r="I12" t="s">
        <v>19</v>
      </c>
      <c r="J12" s="3" t="b">
        <v>1</v>
      </c>
      <c r="L12" s="2">
        <v>2</v>
      </c>
      <c r="M12" t="s">
        <v>16</v>
      </c>
      <c r="N12" t="s">
        <v>11</v>
      </c>
      <c r="O12" s="3" t="b">
        <v>1</v>
      </c>
    </row>
    <row r="13" spans="1:16" ht="15" thickBot="1" x14ac:dyDescent="0.35">
      <c r="A13" s="4">
        <v>3</v>
      </c>
      <c r="B13" s="8" t="s">
        <v>30</v>
      </c>
      <c r="C13" s="5" t="s">
        <v>6</v>
      </c>
      <c r="D13" s="5" t="s">
        <v>11</v>
      </c>
      <c r="E13" s="6" t="b">
        <v>1</v>
      </c>
      <c r="G13" s="4">
        <v>3</v>
      </c>
      <c r="H13" s="5">
        <v>20</v>
      </c>
      <c r="I13" s="5" t="s">
        <v>20</v>
      </c>
      <c r="J13" s="6" t="b">
        <v>0</v>
      </c>
      <c r="L13" s="4">
        <v>3</v>
      </c>
      <c r="M13" s="5" t="s">
        <v>17</v>
      </c>
      <c r="N13" s="5" t="s">
        <v>11</v>
      </c>
      <c r="O13" s="6" t="b">
        <v>1</v>
      </c>
    </row>
    <row r="15" spans="1:16" ht="15" thickBot="1" x14ac:dyDescent="0.35"/>
    <row r="16" spans="1:16" x14ac:dyDescent="0.3">
      <c r="A16" s="14" t="s">
        <v>21</v>
      </c>
      <c r="B16" s="15"/>
      <c r="C16" s="15"/>
      <c r="D16" s="16"/>
      <c r="F16" s="11" t="s">
        <v>31</v>
      </c>
      <c r="G16" s="12"/>
      <c r="H16" s="12"/>
      <c r="I16" s="12"/>
      <c r="J16" s="13"/>
      <c r="L16" s="11" t="s">
        <v>35</v>
      </c>
      <c r="M16" s="12"/>
      <c r="N16" s="12"/>
      <c r="O16" s="12"/>
      <c r="P16" s="13"/>
    </row>
    <row r="17" spans="1:16" x14ac:dyDescent="0.3">
      <c r="A17" s="2" t="s">
        <v>1</v>
      </c>
      <c r="B17" t="s">
        <v>22</v>
      </c>
      <c r="C17" t="s">
        <v>23</v>
      </c>
      <c r="D17" s="3" t="s">
        <v>3</v>
      </c>
      <c r="F17" s="2" t="s">
        <v>1</v>
      </c>
      <c r="G17" t="s">
        <v>32</v>
      </c>
      <c r="H17" t="s">
        <v>33</v>
      </c>
      <c r="I17" t="s">
        <v>34</v>
      </c>
      <c r="J17" s="3" t="s">
        <v>3</v>
      </c>
      <c r="L17" s="2" t="s">
        <v>1</v>
      </c>
      <c r="M17" t="s">
        <v>32</v>
      </c>
      <c r="N17" t="s">
        <v>33</v>
      </c>
      <c r="O17" t="s">
        <v>36</v>
      </c>
      <c r="P17" s="3" t="s">
        <v>3</v>
      </c>
    </row>
    <row r="18" spans="1:16" x14ac:dyDescent="0.3">
      <c r="A18" s="2">
        <v>1</v>
      </c>
      <c r="B18">
        <v>500</v>
      </c>
      <c r="C18" t="s">
        <v>26</v>
      </c>
      <c r="D18" s="3" t="b">
        <v>1</v>
      </c>
      <c r="F18" s="2">
        <v>1</v>
      </c>
      <c r="G18">
        <v>1</v>
      </c>
      <c r="H18">
        <v>1</v>
      </c>
      <c r="I18" t="s">
        <v>11</v>
      </c>
      <c r="J18" s="9" t="b">
        <v>1</v>
      </c>
      <c r="L18" s="2">
        <v>1</v>
      </c>
      <c r="M18">
        <v>1</v>
      </c>
      <c r="N18">
        <v>1</v>
      </c>
      <c r="O18" t="s">
        <v>11</v>
      </c>
      <c r="P18" s="9" t="b">
        <v>1</v>
      </c>
    </row>
    <row r="19" spans="1:16" x14ac:dyDescent="0.3">
      <c r="A19" s="2">
        <v>2</v>
      </c>
      <c r="B19">
        <v>700</v>
      </c>
      <c r="C19" t="s">
        <v>24</v>
      </c>
      <c r="D19" s="3" t="b">
        <v>1</v>
      </c>
      <c r="F19" s="2">
        <v>2</v>
      </c>
      <c r="G19">
        <v>1</v>
      </c>
      <c r="H19">
        <v>2</v>
      </c>
      <c r="I19" t="s">
        <v>11</v>
      </c>
      <c r="J19" s="3" t="b">
        <v>1</v>
      </c>
      <c r="L19" s="2">
        <v>2</v>
      </c>
      <c r="M19">
        <v>1</v>
      </c>
      <c r="N19">
        <v>2</v>
      </c>
      <c r="O19" t="s">
        <v>11</v>
      </c>
      <c r="P19" s="3" t="b">
        <v>1</v>
      </c>
    </row>
    <row r="20" spans="1:16" ht="15" thickBot="1" x14ac:dyDescent="0.35">
      <c r="A20" s="4">
        <v>3</v>
      </c>
      <c r="B20" s="5">
        <v>800</v>
      </c>
      <c r="C20" s="5" t="s">
        <v>25</v>
      </c>
      <c r="D20" s="6" t="b">
        <v>0</v>
      </c>
      <c r="F20" s="4">
        <v>3</v>
      </c>
      <c r="G20" s="5">
        <v>1</v>
      </c>
      <c r="H20" s="5">
        <v>3</v>
      </c>
      <c r="I20" s="5" t="s">
        <v>11</v>
      </c>
      <c r="J20" s="10" t="b">
        <v>1</v>
      </c>
      <c r="L20" s="4">
        <v>3</v>
      </c>
      <c r="M20" s="5">
        <v>1</v>
      </c>
      <c r="N20" s="5">
        <v>3</v>
      </c>
      <c r="O20" s="5" t="s">
        <v>11</v>
      </c>
      <c r="P20" s="10" t="b">
        <v>1</v>
      </c>
    </row>
    <row r="22" spans="1:16" ht="15" thickBot="1" x14ac:dyDescent="0.35"/>
    <row r="23" spans="1:16" x14ac:dyDescent="0.3">
      <c r="A23" s="14" t="s">
        <v>39</v>
      </c>
      <c r="B23" s="15"/>
      <c r="C23" s="15"/>
      <c r="D23" s="15"/>
      <c r="E23" s="16"/>
      <c r="G23" s="14" t="s">
        <v>41</v>
      </c>
      <c r="H23" s="15"/>
      <c r="I23" s="15"/>
      <c r="J23" s="15"/>
      <c r="K23" s="15"/>
      <c r="L23" s="16"/>
      <c r="N23" s="14" t="s">
        <v>66</v>
      </c>
      <c r="O23" s="15"/>
      <c r="P23" s="16"/>
    </row>
    <row r="24" spans="1:16" x14ac:dyDescent="0.3">
      <c r="A24" s="2" t="s">
        <v>1</v>
      </c>
      <c r="B24" t="s">
        <v>37</v>
      </c>
      <c r="C24" t="s">
        <v>38</v>
      </c>
      <c r="D24" s="1" t="s">
        <v>40</v>
      </c>
      <c r="E24" s="3" t="s">
        <v>3</v>
      </c>
      <c r="G24" s="2" t="s">
        <v>1</v>
      </c>
      <c r="H24" t="s">
        <v>37</v>
      </c>
      <c r="I24" t="s">
        <v>71</v>
      </c>
      <c r="J24" t="s">
        <v>73</v>
      </c>
      <c r="K24" t="s">
        <v>42</v>
      </c>
      <c r="L24" s="3" t="s">
        <v>3</v>
      </c>
      <c r="N24" s="2" t="s">
        <v>1</v>
      </c>
      <c r="O24" t="s">
        <v>67</v>
      </c>
      <c r="P24" s="3" t="s">
        <v>3</v>
      </c>
    </row>
    <row r="25" spans="1:16" x14ac:dyDescent="0.3">
      <c r="A25" s="2">
        <v>1</v>
      </c>
      <c r="B25">
        <v>1</v>
      </c>
      <c r="C25">
        <v>1</v>
      </c>
      <c r="D25" t="s">
        <v>11</v>
      </c>
      <c r="E25" s="3" t="b">
        <v>1</v>
      </c>
      <c r="G25" s="2">
        <v>1</v>
      </c>
      <c r="H25">
        <v>1</v>
      </c>
      <c r="I25">
        <v>1</v>
      </c>
      <c r="J25" t="s">
        <v>11</v>
      </c>
      <c r="K25" t="s">
        <v>11</v>
      </c>
      <c r="L25" s="3" t="b">
        <v>1</v>
      </c>
      <c r="N25" s="2">
        <v>1</v>
      </c>
      <c r="O25" t="s">
        <v>68</v>
      </c>
      <c r="P25" s="3" t="b">
        <v>1</v>
      </c>
    </row>
    <row r="26" spans="1:16" x14ac:dyDescent="0.3">
      <c r="A26" s="2">
        <v>2</v>
      </c>
      <c r="B26">
        <v>1</v>
      </c>
      <c r="C26">
        <v>2</v>
      </c>
      <c r="D26" t="s">
        <v>11</v>
      </c>
      <c r="E26" s="3" t="b">
        <v>1</v>
      </c>
      <c r="G26" s="2">
        <v>2</v>
      </c>
      <c r="H26">
        <v>1</v>
      </c>
      <c r="I26">
        <v>3</v>
      </c>
      <c r="J26" t="s">
        <v>11</v>
      </c>
      <c r="K26" t="s">
        <v>11</v>
      </c>
      <c r="L26" s="3" t="b">
        <v>1</v>
      </c>
      <c r="N26" s="2">
        <v>2</v>
      </c>
      <c r="O26" t="s">
        <v>69</v>
      </c>
      <c r="P26" s="3" t="b">
        <v>1</v>
      </c>
    </row>
    <row r="27" spans="1:16" ht="15" thickBot="1" x14ac:dyDescent="0.35">
      <c r="A27" s="4">
        <v>3</v>
      </c>
      <c r="B27" s="5">
        <v>1</v>
      </c>
      <c r="C27" s="5">
        <v>3</v>
      </c>
      <c r="D27" s="5" t="s">
        <v>11</v>
      </c>
      <c r="E27" s="6" t="b">
        <v>0</v>
      </c>
      <c r="G27" s="4">
        <v>3</v>
      </c>
      <c r="H27" s="5">
        <v>2</v>
      </c>
      <c r="I27" s="5">
        <v>1</v>
      </c>
      <c r="J27" s="5" t="s">
        <v>11</v>
      </c>
      <c r="K27" s="5" t="s">
        <v>11</v>
      </c>
      <c r="L27" s="6" t="b">
        <v>1</v>
      </c>
      <c r="N27" s="4">
        <v>3</v>
      </c>
      <c r="O27" s="5" t="s">
        <v>70</v>
      </c>
      <c r="P27" s="6" t="b">
        <v>1</v>
      </c>
    </row>
    <row r="29" spans="1:16" ht="15" thickBot="1" x14ac:dyDescent="0.35"/>
    <row r="30" spans="1:16" x14ac:dyDescent="0.3">
      <c r="A30" s="11" t="s">
        <v>62</v>
      </c>
      <c r="B30" s="12"/>
      <c r="C30" s="12"/>
      <c r="D30" s="12"/>
      <c r="E30" s="12"/>
      <c r="F30" s="12"/>
      <c r="G30" s="12"/>
      <c r="H30" s="12"/>
      <c r="I30" s="13"/>
    </row>
    <row r="31" spans="1:16" x14ac:dyDescent="0.3">
      <c r="A31" s="2" t="s">
        <v>1</v>
      </c>
      <c r="B31" t="s">
        <v>37</v>
      </c>
      <c r="C31" t="s">
        <v>38</v>
      </c>
      <c r="D31" t="s">
        <v>44</v>
      </c>
      <c r="E31" t="s">
        <v>64</v>
      </c>
      <c r="F31" t="s">
        <v>63</v>
      </c>
      <c r="G31" t="s">
        <v>71</v>
      </c>
      <c r="H31" t="s">
        <v>72</v>
      </c>
      <c r="I31" s="3" t="s">
        <v>3</v>
      </c>
    </row>
    <row r="32" spans="1:16" x14ac:dyDescent="0.3">
      <c r="A32" s="2">
        <v>1</v>
      </c>
      <c r="B32">
        <v>1</v>
      </c>
      <c r="C32">
        <v>1</v>
      </c>
      <c r="D32" t="s">
        <v>26</v>
      </c>
      <c r="E32" t="s">
        <v>65</v>
      </c>
      <c r="F32">
        <v>1</v>
      </c>
      <c r="G32">
        <v>1</v>
      </c>
      <c r="H32" t="s">
        <v>11</v>
      </c>
      <c r="I32" s="3" t="b">
        <v>1</v>
      </c>
    </row>
    <row r="33" spans="1:14" x14ac:dyDescent="0.3">
      <c r="A33" s="2">
        <v>2</v>
      </c>
      <c r="B33">
        <v>1</v>
      </c>
      <c r="C33">
        <v>2</v>
      </c>
      <c r="D33" t="s">
        <v>24</v>
      </c>
      <c r="E33" t="s">
        <v>65</v>
      </c>
      <c r="F33">
        <v>1</v>
      </c>
      <c r="G33">
        <v>1</v>
      </c>
      <c r="H33" t="s">
        <v>11</v>
      </c>
      <c r="I33" s="3" t="b">
        <v>1</v>
      </c>
    </row>
    <row r="34" spans="1:14" ht="15" thickBot="1" x14ac:dyDescent="0.35">
      <c r="A34" s="4">
        <v>3</v>
      </c>
      <c r="B34" s="5">
        <v>1</v>
      </c>
      <c r="C34" s="5">
        <v>3</v>
      </c>
      <c r="D34" s="5" t="s">
        <v>25</v>
      </c>
      <c r="E34" s="5" t="s">
        <v>65</v>
      </c>
      <c r="F34" s="5">
        <v>1</v>
      </c>
      <c r="G34" s="5">
        <v>1</v>
      </c>
      <c r="H34" s="5" t="s">
        <v>11</v>
      </c>
      <c r="I34" s="6" t="b">
        <v>1</v>
      </c>
    </row>
    <row r="36" spans="1:14" ht="15" thickBot="1" x14ac:dyDescent="0.35"/>
    <row r="37" spans="1:14" x14ac:dyDescent="0.3">
      <c r="A37" s="11" t="s">
        <v>75</v>
      </c>
      <c r="B37" s="12"/>
      <c r="C37" s="12"/>
      <c r="D37" s="12"/>
      <c r="E37" s="12"/>
      <c r="F37" s="13"/>
      <c r="H37" s="11" t="s">
        <v>79</v>
      </c>
      <c r="I37" s="12"/>
      <c r="J37" s="12"/>
      <c r="K37" s="12"/>
      <c r="L37" s="12"/>
      <c r="M37" s="12"/>
      <c r="N37" s="13"/>
    </row>
    <row r="38" spans="1:14" x14ac:dyDescent="0.3">
      <c r="A38" s="2" t="s">
        <v>1</v>
      </c>
      <c r="B38" t="s">
        <v>74</v>
      </c>
      <c r="C38" t="s">
        <v>82</v>
      </c>
      <c r="D38" t="s">
        <v>83</v>
      </c>
      <c r="E38" t="s">
        <v>84</v>
      </c>
      <c r="F38" s="3" t="s">
        <v>3</v>
      </c>
      <c r="H38" s="2" t="s">
        <v>1</v>
      </c>
      <c r="I38" t="s">
        <v>80</v>
      </c>
      <c r="J38" t="s">
        <v>81</v>
      </c>
      <c r="K38" t="s">
        <v>82</v>
      </c>
      <c r="L38" t="s">
        <v>83</v>
      </c>
      <c r="M38" t="s">
        <v>84</v>
      </c>
      <c r="N38" s="3" t="s">
        <v>3</v>
      </c>
    </row>
    <row r="39" spans="1:14" x14ac:dyDescent="0.3">
      <c r="A39" s="2">
        <v>1</v>
      </c>
      <c r="B39" t="s">
        <v>76</v>
      </c>
      <c r="C39" s="7" t="s">
        <v>87</v>
      </c>
      <c r="D39" s="7" t="s">
        <v>87</v>
      </c>
      <c r="E39">
        <v>4</v>
      </c>
      <c r="F39" s="3" t="b">
        <v>1</v>
      </c>
      <c r="H39" s="2">
        <v>1</v>
      </c>
      <c r="I39" t="s">
        <v>85</v>
      </c>
      <c r="J39">
        <v>1</v>
      </c>
      <c r="K39" s="7" t="s">
        <v>87</v>
      </c>
      <c r="L39" s="7" t="s">
        <v>87</v>
      </c>
      <c r="M39">
        <v>4</v>
      </c>
      <c r="N39" s="3" t="b">
        <v>1</v>
      </c>
    </row>
    <row r="40" spans="1:14" x14ac:dyDescent="0.3">
      <c r="A40" s="2">
        <v>2</v>
      </c>
      <c r="B40" t="s">
        <v>77</v>
      </c>
      <c r="C40" s="7" t="s">
        <v>88</v>
      </c>
      <c r="D40" s="7" t="s">
        <v>88</v>
      </c>
      <c r="E40">
        <v>5</v>
      </c>
      <c r="F40" s="3" t="b">
        <v>1</v>
      </c>
      <c r="H40" s="2">
        <v>2</v>
      </c>
      <c r="I40" t="s">
        <v>86</v>
      </c>
      <c r="J40">
        <v>1</v>
      </c>
      <c r="K40" s="7" t="s">
        <v>88</v>
      </c>
      <c r="L40" s="7" t="s">
        <v>88</v>
      </c>
      <c r="M40">
        <v>5</v>
      </c>
      <c r="N40" s="3" t="b">
        <v>1</v>
      </c>
    </row>
    <row r="41" spans="1:14" ht="15" thickBot="1" x14ac:dyDescent="0.35">
      <c r="A41" s="4">
        <v>3</v>
      </c>
      <c r="B41" s="5" t="s">
        <v>78</v>
      </c>
      <c r="C41" s="8" t="s">
        <v>89</v>
      </c>
      <c r="D41" s="8" t="s">
        <v>89</v>
      </c>
      <c r="E41" s="5">
        <v>6</v>
      </c>
      <c r="F41" s="6" t="b">
        <v>1</v>
      </c>
      <c r="H41" s="4">
        <v>3</v>
      </c>
      <c r="I41" s="5" t="s">
        <v>105</v>
      </c>
      <c r="J41" s="5">
        <v>1</v>
      </c>
      <c r="K41" s="8" t="s">
        <v>89</v>
      </c>
      <c r="L41" s="8" t="s">
        <v>89</v>
      </c>
      <c r="M41" s="5">
        <v>6</v>
      </c>
      <c r="N41" s="6" t="b">
        <v>1</v>
      </c>
    </row>
    <row r="43" spans="1:14" ht="15" thickBot="1" x14ac:dyDescent="0.35"/>
    <row r="44" spans="1:14" x14ac:dyDescent="0.3">
      <c r="A44" s="11" t="s">
        <v>90</v>
      </c>
      <c r="B44" s="12"/>
      <c r="C44" s="12"/>
      <c r="D44" s="13"/>
    </row>
    <row r="45" spans="1:14" x14ac:dyDescent="0.3">
      <c r="A45" s="2" t="s">
        <v>1</v>
      </c>
      <c r="B45" t="s">
        <v>91</v>
      </c>
      <c r="C45" t="s">
        <v>92</v>
      </c>
      <c r="D45" s="3" t="s">
        <v>3</v>
      </c>
    </row>
    <row r="46" spans="1:14" x14ac:dyDescent="0.3">
      <c r="A46" s="2">
        <v>1</v>
      </c>
      <c r="B46" s="17" t="s">
        <v>102</v>
      </c>
      <c r="C46" t="s">
        <v>11</v>
      </c>
      <c r="D46" s="3" t="b">
        <v>1</v>
      </c>
    </row>
    <row r="47" spans="1:14" x14ac:dyDescent="0.3">
      <c r="A47" s="2">
        <v>2</v>
      </c>
      <c r="B47" s="17" t="s">
        <v>103</v>
      </c>
      <c r="C47" t="s">
        <v>11</v>
      </c>
      <c r="D47" s="3" t="b">
        <v>1</v>
      </c>
    </row>
    <row r="48" spans="1:14" ht="15" thickBot="1" x14ac:dyDescent="0.35">
      <c r="A48" s="4">
        <v>3</v>
      </c>
      <c r="B48" s="17" t="s">
        <v>104</v>
      </c>
      <c r="C48" s="5" t="s">
        <v>11</v>
      </c>
      <c r="D48" s="6" t="b">
        <v>1</v>
      </c>
    </row>
    <row r="50" spans="1:9" ht="15" thickBot="1" x14ac:dyDescent="0.35"/>
    <row r="51" spans="1:9" x14ac:dyDescent="0.3">
      <c r="A51" s="11" t="s">
        <v>93</v>
      </c>
      <c r="B51" s="12"/>
      <c r="C51" s="12"/>
      <c r="D51" s="12"/>
      <c r="E51" s="12"/>
      <c r="F51" s="12"/>
      <c r="G51" s="12"/>
      <c r="H51" s="12"/>
      <c r="I51" s="13"/>
    </row>
    <row r="52" spans="1:9" x14ac:dyDescent="0.3">
      <c r="A52" s="2" t="s">
        <v>1</v>
      </c>
      <c r="B52" t="s">
        <v>94</v>
      </c>
      <c r="C52" t="s">
        <v>95</v>
      </c>
      <c r="D52" t="s">
        <v>96</v>
      </c>
      <c r="E52" t="s">
        <v>97</v>
      </c>
      <c r="F52" t="s">
        <v>82</v>
      </c>
      <c r="G52" t="s">
        <v>83</v>
      </c>
      <c r="H52" t="s">
        <v>98</v>
      </c>
      <c r="I52" s="3" t="s">
        <v>3</v>
      </c>
    </row>
    <row r="53" spans="1:9" x14ac:dyDescent="0.3">
      <c r="A53" s="2">
        <v>1</v>
      </c>
      <c r="B53" t="s">
        <v>99</v>
      </c>
      <c r="C53" t="s">
        <v>109</v>
      </c>
      <c r="D53">
        <v>3</v>
      </c>
      <c r="E53" t="s">
        <v>106</v>
      </c>
      <c r="F53" s="7" t="s">
        <v>87</v>
      </c>
      <c r="G53" s="7" t="s">
        <v>87</v>
      </c>
      <c r="H53">
        <v>2</v>
      </c>
      <c r="I53" s="3" t="b">
        <v>1</v>
      </c>
    </row>
    <row r="54" spans="1:9" x14ac:dyDescent="0.3">
      <c r="A54" s="2">
        <v>2</v>
      </c>
      <c r="B54" t="s">
        <v>100</v>
      </c>
      <c r="C54" t="s">
        <v>110</v>
      </c>
      <c r="D54">
        <v>2</v>
      </c>
      <c r="E54" t="s">
        <v>107</v>
      </c>
      <c r="F54" s="7" t="s">
        <v>88</v>
      </c>
      <c r="G54" s="7" t="s">
        <v>88</v>
      </c>
      <c r="H54">
        <v>1</v>
      </c>
      <c r="I54" s="3" t="b">
        <v>1</v>
      </c>
    </row>
    <row r="55" spans="1:9" ht="15" thickBot="1" x14ac:dyDescent="0.35">
      <c r="A55" s="4">
        <v>3</v>
      </c>
      <c r="B55" s="5" t="s">
        <v>101</v>
      </c>
      <c r="C55" s="5" t="s">
        <v>111</v>
      </c>
      <c r="D55" s="5">
        <v>1</v>
      </c>
      <c r="E55" s="5" t="s">
        <v>108</v>
      </c>
      <c r="F55" s="8" t="s">
        <v>89</v>
      </c>
      <c r="G55" s="8" t="s">
        <v>89</v>
      </c>
      <c r="H55" s="5">
        <v>1</v>
      </c>
      <c r="I55" s="6" t="b">
        <v>1</v>
      </c>
    </row>
  </sheetData>
  <mergeCells count="16">
    <mergeCell ref="A44:D44"/>
    <mergeCell ref="A51:I51"/>
    <mergeCell ref="I2:K2"/>
    <mergeCell ref="A2:G2"/>
    <mergeCell ref="A23:E23"/>
    <mergeCell ref="G9:J9"/>
    <mergeCell ref="A37:F37"/>
    <mergeCell ref="H37:N37"/>
    <mergeCell ref="N23:P23"/>
    <mergeCell ref="A30:I30"/>
    <mergeCell ref="L9:O9"/>
    <mergeCell ref="A16:D16"/>
    <mergeCell ref="A9:E9"/>
    <mergeCell ref="F16:J16"/>
    <mergeCell ref="L16:P16"/>
    <mergeCell ref="G23:L23"/>
  </mergeCells>
  <phoneticPr fontId="2" type="noConversion"/>
  <pageMargins left="0.7" right="0.7" top="0.75" bottom="0.75" header="0.3" footer="0.3"/>
  <tableParts count="16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Clingo</dc:creator>
  <cp:lastModifiedBy>Fernando Clingo</cp:lastModifiedBy>
  <dcterms:created xsi:type="dcterms:W3CDTF">2026-01-05T20:48:46Z</dcterms:created>
  <dcterms:modified xsi:type="dcterms:W3CDTF">2026-02-04T09:51:12Z</dcterms:modified>
</cp:coreProperties>
</file>
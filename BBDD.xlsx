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A1DF4339-99C7-4AAB-8AAB-4C5C28C64006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" l="1"/>
  <c r="D65" i="1"/>
  <c r="D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<sst xmlns="http://schemas.openxmlformats.org/spreadsheetml/2006/main" count="391" uniqueCount="205">
  <si>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</si>
  <si>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</si>
  <si>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</si>
  <si>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</si>
  <si>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</si>
  <si>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</si>
  <si>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</si>
  <si>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</si>
  <si>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</si>
  <si>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</si>
  <si>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</si>
  <si>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</si>
  <si>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</si>
  <si>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</si>
  <si>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</si>
  <si>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</si>
  <si>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</si>
  <si>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</si>
  <si>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</si>
  <si>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</si>
  <si>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</si>
  <si>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</si>
  <si>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</si>
  <si>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</si>
  <si>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</si>
  <si>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</si>
  <si>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</si>
  <si>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</si>
  <si>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</si>
  <si>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</si>
  <si>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</si>
  <si>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</si>
  <si>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</si>
  <si>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</si>
  <si>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</si>
  <si>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</si>
  <si>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</si>
  <si>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</si>
  <si>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</si>
  <si>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</si>
  <si>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</si>
  <si>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</si>
  <si>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</si>
  <si>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</si>
  <si>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</si>
  <si>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</si>
  <si>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</si>
  <si>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</si>
  <si>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</si>
  <si>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</si>
  <si>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</si>
  <si>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</si>
  <si>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</si>
  <si>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</si>
  <si>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</si>
  <si>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</si>
  <si>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</si>
  <si>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</si>
  <si>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</si>
  <si>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</si>
  <si>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</si>
  <si>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</si>
  <si>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</si>
  <si>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</si>
  <si>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</si>
  <si>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</si>
  <si>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</si>
  <si>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</si>
  <si>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</si>
  <si>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</si>
  <si>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</si>
  <si>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</si>
  <si>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</si>
  <si>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</si>
  <si>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</si>
  <si>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</si>
  <si>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</si>
  <si>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</si>
  <si>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</si>
  <si>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</si>
  <si>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</si>
  <si>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</si>
  <si>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</si>
  <si>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</si>
  <si>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</si>
  <si>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</si>
  <si>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</si>
  <si>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</si>
  <si>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</si>
  <si>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</si>
  <si>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</si>
  <si>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</si>
  <si>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</si>
  <si>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</si>
  <si>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</si>
  <si>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</si>
  <si>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</si>
  <si>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</si>
  <si>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</si>
  <si>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</si>
  <si>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</si>
  <si>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</si>
  <si>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</si>
  <si>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</si>
  <si>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</si>
  <si>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</si>
  <si>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</si>
  <si>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</si>
  <si>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</si>
  <si>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</si>
  <si>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</si>
  <si>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</si>
  <si>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</si>
  <si>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IDProducto</t>
  </si>
  <si>
    <t>IDAtributo</t>
  </si>
  <si>
    <t>EsPortada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</si>
  <si>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</si>
  <si>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</si>
  <si>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</si>
  <si>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</si>
  <si>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</si>
  <si>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</si>
  <si>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Compras</t>
  </si>
  <si>
    <t>RRHH</t>
  </si>
  <si>
    <t>Ventas</t>
  </si>
  <si>
    <t>Linea 1</t>
  </si>
  <si>
    <t>Linea 2</t>
  </si>
  <si>
    <t>Celular</t>
  </si>
  <si>
    <t>Red</t>
  </si>
  <si>
    <t>URLRed</t>
  </si>
  <si>
    <t>X</t>
  </si>
  <si>
    <t>Youtube</t>
  </si>
  <si>
    <t>Facebook</t>
  </si>
  <si>
    <t>FraseInstitucionalLinea</t>
  </si>
  <si>
    <t>AtributosPorProductos (está en productos)</t>
  </si>
  <si>
    <t>Mails</t>
  </si>
  <si>
    <t>Telefonos</t>
  </si>
  <si>
    <t>RedesSociales</t>
  </si>
  <si>
    <t>IdEmpresa</t>
  </si>
  <si>
    <t>Empresa</t>
  </si>
  <si>
    <t>Nombre S A</t>
  </si>
  <si>
    <t>CUIT</t>
  </si>
  <si>
    <t>20-55223344-1</t>
  </si>
  <si>
    <t>Eva Peron 2543</t>
  </si>
  <si>
    <t>Localidad</t>
  </si>
  <si>
    <t>Munro</t>
  </si>
  <si>
    <t>Partido</t>
  </si>
  <si>
    <t>Vicente Lopez</t>
  </si>
  <si>
    <t>CP</t>
  </si>
  <si>
    <t>B1605BHA</t>
  </si>
  <si>
    <t>Horario</t>
  </si>
  <si>
    <t>Lun a Vier 8 a 16</t>
  </si>
  <si>
    <t>ImagenesAmbientaciones (está en productos)</t>
  </si>
  <si>
    <t>PaginaIndex</t>
  </si>
  <si>
    <t>Posicion</t>
  </si>
  <si>
    <t>Link</t>
  </si>
  <si>
    <t>LinkSN</t>
  </si>
  <si>
    <t>LanzamientoSN</t>
  </si>
  <si>
    <t>PausaSN</t>
  </si>
  <si>
    <t>Monocomando Cross</t>
  </si>
  <si>
    <t>Lavatorio Next</t>
  </si>
  <si>
    <t>Jabonera Rejilla</t>
  </si>
  <si>
    <t>Línea Cross</t>
  </si>
  <si>
    <t>Línea Next</t>
  </si>
  <si>
    <t>Linea Match</t>
  </si>
  <si>
    <t>Paginas</t>
  </si>
  <si>
    <t>Pagina</t>
  </si>
  <si>
    <t>Index</t>
  </si>
  <si>
    <t>TipoTexto</t>
  </si>
  <si>
    <t>Parrafo</t>
  </si>
  <si>
    <t>Frase</t>
  </si>
  <si>
    <t>ColorGradiente1</t>
  </si>
  <si>
    <t>ColorGradiente2</t>
  </si>
  <si>
    <t>ColorGradiente3</t>
  </si>
  <si>
    <t>ColorGradiente4</t>
  </si>
  <si>
    <t>ColorSolido</t>
  </si>
  <si>
    <t>Angulo</t>
  </si>
  <si>
    <t>Opacidad</t>
  </si>
  <si>
    <t>Blur</t>
  </si>
  <si>
    <t>Brillo</t>
  </si>
  <si>
    <t>Contraste</t>
  </si>
  <si>
    <t>EscalaGrises</t>
  </si>
  <si>
    <t>URLBackground</t>
  </si>
  <si>
    <t>Fuente</t>
  </si>
  <si>
    <t>Arial</t>
  </si>
  <si>
    <t>Time New Romans</t>
  </si>
  <si>
    <t>IdTipoTexto</t>
  </si>
  <si>
    <t>IdFuente</t>
  </si>
  <si>
    <t>#</t>
  </si>
  <si>
    <t>Tamaño</t>
  </si>
  <si>
    <t>Publicada</t>
  </si>
  <si>
    <t>NULL</t>
  </si>
  <si>
    <t>Mayuscula</t>
  </si>
  <si>
    <t>Espaciado</t>
  </si>
  <si>
    <t>IdBackground</t>
  </si>
  <si>
    <t>EdicionTexto</t>
  </si>
  <si>
    <t>EdicionBackground</t>
  </si>
  <si>
    <t>IdEdicionTexto</t>
  </si>
  <si>
    <t>DisenioPaginas</t>
  </si>
  <si>
    <t>URLFuente</t>
  </si>
  <si>
    <t>Arial, Helvetica, sans-serif</t>
  </si>
  <si>
    <t>'Times New Roman', Times, serif</t>
  </si>
  <si>
    <t>Courier New</t>
  </si>
  <si>
    <t>'Courier New', Courier, monospace</t>
  </si>
  <si>
    <t>Declaracion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</si>
</sst>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1" fillId="0" borderId="5" xfId="0" applyFont="1" applyBorder="1"/>
    <xf numFmtId="0" fontId="0" fillId="2" borderId="7" xfId="0" applyFill="1" applyBorder="1"/>
    <xf numFmtId="0" fontId="0" fillId="2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right style="medium">
          <color indexed="64"/>
        </right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56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K16" totalsRowShown="0">
  <autoFilter ref="G13:K16" xr:uid="{5C307171-21C3-4D19-9190-21EBBEF7C7BE}"/>
  <tableColumns count="5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5" xr3:uid="{E68168E7-9BED-421B-9270-741133D3D01A}" name="Descripcion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M13:P16" totalsRowShown="0">
  <autoFilter ref="M13:P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5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54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I27:K30" totalsRowShown="0">
  <autoFilter ref="I27:K30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53"/>
    <tableColumn id="4" xr3:uid="{36EB177E-ACE1-4B78-A56A-A9F891312B25}" name="Longitud" dataDxfId="52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M44" totalsRowShown="0" headerRowDxfId="51" dataDxfId="50">
  <autoFilter ref="H41:M44" xr:uid="{EF32F6B3-AC45-462F-BE18-EFE2DD57FE9B}"/>
  <tableColumns count="6">
    <tableColumn id="1" xr3:uid="{C8F6ED57-5FD2-4FB3-A4A5-BC3965E98B15}" name="ID" dataDxfId="49"/>
    <tableColumn id="2" xr3:uid="{65B99387-EDCD-429B-B81B-A4F58479A304}" name="IdProducto" dataDxfId="48"/>
    <tableColumn id="3" xr3:uid="{5D9C0348-2DF4-47CC-977C-AAFB9F19E959}" name="Titulo" dataDxfId="47"/>
    <tableColumn id="4" xr3:uid="{1CACB54F-DC9D-41AC-A04F-171EF34060DC}" name="URLImagen" dataDxfId="46"/>
    <tableColumn id="5" xr3:uid="{E836C9A1-0FCD-4424-8667-FBB476A992FD}" name="Publicada"/>
    <tableColumn id="7" xr3:uid="{824500A6-D872-42FD-9C38-60CB54869E2F}" name="Activo" dataDxfId="4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44"/>
    <tableColumn id="7" xr3:uid="{D1025C6A-57D3-4E57-916D-CF79774C6EAF}" name="Longitud" dataDxfId="43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42" dataDxfId="41">
  <autoFilter ref="K34:N37" xr:uid="{36798AE9-B843-4477-9F23-32045BDEF7D7}"/>
  <tableColumns count="4">
    <tableColumn id="1" xr3:uid="{E050CEA3-2793-4698-9E45-C3447ADCD555}" name="ID" dataDxfId="40"/>
    <tableColumn id="2" xr3:uid="{03295AE7-34B5-4134-9D2F-2268D15B310C}" name="IDProducto" dataDxfId="39"/>
    <tableColumn id="3" xr3:uid="{1564E106-D50F-4573-A696-EE197325F0F3}" name="IDAtributo" dataDxfId="38"/>
    <tableColumn id="4" xr3:uid="{5F701778-C720-415C-9979-8380EB9AB80C}" name="Activo" dataDxfId="37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L51" totalsRowShown="0">
  <autoFilter ref="F48:L51" xr:uid="{05CA7051-E28E-4B32-9032-EE45922419A6}"/>
  <tableColumns count="7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36"/>
    <tableColumn id="5" xr3:uid="{ACBD9873-D350-427F-993B-2B1B42296D9B}" name="Longitud" dataDxfId="35"/>
    <tableColumn id="6" xr3:uid="{957CA68C-6225-4C37-B8D5-8FF8C064FB1C}" name="Zoom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E65" totalsRowShown="0" headerRowDxfId="34" dataDxfId="33">
  <autoFilter ref="A62:E65" xr:uid="{6995137C-E78D-4F26-A126-F3AEFE2A2B13}"/>
  <tableColumns count="5">
    <tableColumn id="1" xr3:uid="{7C1F763D-9A29-4F91-BB26-5F2CF68260F0}" name="ID" dataDxfId="32"/>
    <tableColumn id="5" xr3:uid="{F0BF2187-ECA7-4173-9FAC-3BC72EFDB82F}" name="IdEmpresa" dataDxfId="31"/>
    <tableColumn id="2" xr3:uid="{98E75056-4A9A-4C56-8FA5-EFD4D867777B}" name="Nombre" dataDxfId="30"/>
    <tableColumn id="3" xr3:uid="{48A2AE2B-7A42-420C-8BB3-5F9F2AA01721}" name="Mail" dataDxfId="29">
      <calculatedColumnFormula>CONCATENATE(C63,"@andez.com.ar")</calculatedColumnFormula>
    </tableColumn>
    <tableColumn id="4" xr3:uid="{31D99612-66DC-4B54-A747-6C39765D7B66}" name="Activo" dataDxfId="28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G62:K65" totalsRowShown="0" headerRowDxfId="27" dataDxfId="26">
  <autoFilter ref="G62:K65" xr:uid="{89087EED-CE2D-441A-9746-B0BA56EA9A63}"/>
  <tableColumns count="5">
    <tableColumn id="1" xr3:uid="{6D3F8F4E-2473-4BE6-A51E-C3C3E4C26133}" name="ID" dataDxfId="25"/>
    <tableColumn id="5" xr3:uid="{8C181956-53C7-4FD2-BAAB-42B1CDE2E84E}" name="IdEmpresa" dataDxfId="24"/>
    <tableColumn id="2" xr3:uid="{12B007DF-889A-4CDB-93CC-EBEFCBD3A3E9}" name="Nombre" dataDxfId="23"/>
    <tableColumn id="3" xr3:uid="{A94B5F86-8442-44DD-9C03-77F51D7F5B8D}" name="Telefono" dataDxfId="22">
      <calculatedColumnFormula>CONCATENATE(I63,"@andez.com.ar")</calculatedColumnFormula>
    </tableColumn>
    <tableColumn id="4" xr3:uid="{0E412ADD-9FF3-43E1-BDA1-A917D6B1E4D7}" name="Activo" dataDxfId="21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E72" totalsRowShown="0" headerRowDxfId="20" dataDxfId="19" tableBorderDxfId="18">
  <autoFilter ref="A69:E72" xr:uid="{58000D4A-AEBA-4D49-B463-180C8FD8A937}"/>
  <tableColumns count="5">
    <tableColumn id="1" xr3:uid="{E9F2D081-00F6-4B92-9DFE-6473CB6B3F38}" name="ID" dataDxfId="17"/>
    <tableColumn id="5" xr3:uid="{FE107DC5-A1C2-4F54-BC82-5BBB32CCABC3}" name="IdEmpresa" dataDxfId="16"/>
    <tableColumn id="2" xr3:uid="{DE65DD1F-F1BA-4548-A19A-4B9DD2857A6F}" name="Red" dataDxfId="15"/>
    <tableColumn id="3" xr3:uid="{23F951D4-E519-45F7-81C5-69ED4EA385E4}" name="URLRed" dataDxfId="14"/>
    <tableColumn id="4" xr3:uid="{E5F1016C-C8F1-4FEA-B687-B57CB00F2E70}" name="Activo" dataDxfId="13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A76:J77" totalsRowShown="0" headerRowDxfId="12" dataDxfId="11">
  <autoFilter ref="A76:J77" xr:uid="{A2E83C68-75BA-4C98-B80E-E4E7E2B0B82C}"/>
  <tableColumns count="10">
    <tableColumn id="1" xr3:uid="{173EAAD2-F12F-4372-8FA2-00B32059C1EB}" name="ID" dataDxfId="10"/>
    <tableColumn id="2" xr3:uid="{3E7AAA46-3847-4587-A43F-E688C1582045}" name="RazonSocial" dataDxfId="9"/>
    <tableColumn id="4" xr3:uid="{7727AE8E-759C-4DE1-86AE-BDFED86835D0}" name="CUIT" dataDxfId="8"/>
    <tableColumn id="5" xr3:uid="{BBA783BB-BBBB-4233-929D-4BF68AFA091A}" name="Direccion" dataDxfId="7"/>
    <tableColumn id="6" xr3:uid="{419A73DC-BE03-4D90-BE0C-9779F3EB2DDB}" name="Localidad" dataDxfId="6"/>
    <tableColumn id="7" xr3:uid="{BE8C959F-F07F-4076-8E57-3EA25221B957}" name="Partido" dataDxfId="5"/>
    <tableColumn id="8" xr3:uid="{DB60E2FA-C8A3-4C27-BCAB-41F7E5C99855}" name="IdProvincia" dataDxfId="4"/>
    <tableColumn id="9" xr3:uid="{EC23197E-97BD-4D2B-AF77-BAEDEAEEEB33}" name="CP" dataDxfId="3"/>
    <tableColumn id="10" xr3:uid="{7234FBEF-54AA-4FBE-8D11-84EDF024DAB3}" name="Horario" dataDxfId="2"/>
    <tableColumn id="3" xr3:uid="{2D33166C-2999-4BC9-8B00-7F06B4D84FF1}" name="Activo" dataDxfId="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610188-F7B2-40FB-B0A9-E18135492A82}" name="Tabla7" displayName="Tabla7" ref="A81:L84" totalsRowShown="0">
  <autoFilter ref="A81:L84" xr:uid="{93610188-F7B2-40FB-B0A9-E18135492A82}"/>
  <tableColumns count="12">
    <tableColumn id="1" xr3:uid="{1035A3C3-56C5-4CB6-B2AD-211341406B65}" name="ID"/>
    <tableColumn id="2" xr3:uid="{A5D7D600-3A71-4DD1-A6A0-88B6463C987F}" name="Posicion"/>
    <tableColumn id="12" xr3:uid="{0DCF8682-7649-4A42-B056-5C7F147FE3A0}" name="IdEdicionTexto"/>
    <tableColumn id="3" xr3:uid="{473E571D-8BE9-4BD5-B8BD-FC16062FBA4A}" name="Nombre"/>
    <tableColumn id="4" xr3:uid="{BFCDC025-7291-43F4-BF51-02B5C205C0B1}" name="URLImagen"/>
    <tableColumn id="5" xr3:uid="{1AD6DCB5-B8FB-43FC-88CE-E58B0DF75376}" name="Titulo"/>
    <tableColumn id="6" xr3:uid="{782D732A-1C91-4938-BDF6-8C352984694E}" name="Descripcion" dataDxfId="0"/>
    <tableColumn id="7" xr3:uid="{37200F4F-B540-4A63-9F27-255BD55AD0BD}" name="Link"/>
    <tableColumn id="8" xr3:uid="{CB7E851F-8679-4467-A629-18DE76D9185B}" name="LinkSN"/>
    <tableColumn id="9" xr3:uid="{DF01FB7D-3582-4808-83E6-C0BF4EDCA881}" name="LanzamientoSN"/>
    <tableColumn id="10" xr3:uid="{29CA56A3-0BDD-4AEA-A3B6-65E562BFA47B}" name="PausaSN"/>
    <tableColumn id="11" xr3:uid="{D16E7FAF-93EA-4266-8EED-9856A946F54F}" name="Activo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E94E33-CBEB-416E-8BE1-18A7BBEB19B8}" name="Tabla8" displayName="Tabla8" ref="A95:N98" totalsRowShown="0">
  <autoFilter ref="A95:N98" xr:uid="{68E94E33-CBEB-416E-8BE1-18A7BBEB19B8}"/>
  <tableColumns count="14">
    <tableColumn id="1" xr3:uid="{1E8CA238-3595-4186-9A14-6CF4E7344108}" name="ID"/>
    <tableColumn id="5" xr3:uid="{7E4F1EF2-7520-4E68-B2FD-D184EC1CB1C3}" name="URLBackground"/>
    <tableColumn id="6" xr3:uid="{6C881594-A7F4-46D3-A368-B8C8A77D11C3}" name="ColorGradiente1"/>
    <tableColumn id="7" xr3:uid="{9B4B354C-8699-4AA2-9FD9-649842AE57D0}" name="ColorGradiente2"/>
    <tableColumn id="8" xr3:uid="{01CA6DE3-6CFE-4CAE-A373-396E0851DD53}" name="ColorGradiente3"/>
    <tableColumn id="9" xr3:uid="{B1E44F0D-9D59-449B-9FD7-82DF6631C1CD}" name="ColorGradiente4"/>
    <tableColumn id="11" xr3:uid="{949976C3-3839-4BA5-A7E3-099398B9F562}" name="Angulo"/>
    <tableColumn id="12" xr3:uid="{336F208F-5CA7-41FC-9D9A-CEAD6888A253}" name="ColorSolido"/>
    <tableColumn id="13" xr3:uid="{82ED43C4-B914-48D4-AD3A-1B643F79C195}" name="Opacidad"/>
    <tableColumn id="14" xr3:uid="{C74DFCB1-08F4-4D7E-93E3-D5FCA7AECBE1}" name="Blur"/>
    <tableColumn id="15" xr3:uid="{07161F10-4594-40BD-9768-AB20BAA38606}" name="Brillo"/>
    <tableColumn id="16" xr3:uid="{8A7CAB8F-C50F-4BD0-A384-77BE5DA8EC95}" name="Contraste"/>
    <tableColumn id="17" xr3:uid="{F3288458-6C0F-465C-AD4F-1638638D6820}" name="EscalaGrises"/>
    <tableColumn id="3" xr3:uid="{98D04B2A-95D5-473E-B16A-3D1B213CF0F8}" name="Activo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4C12ADD-1837-419C-BEA6-D3673F298051}" name="Tabla23" displayName="Tabla23" ref="A88:B91" totalsRowShown="0">
  <autoFilter ref="A88:B91" xr:uid="{64C12ADD-1837-419C-BEA6-D3673F298051}"/>
  <tableColumns count="2">
    <tableColumn id="1" xr3:uid="{D824E0B3-B2F8-41D9-8175-BA69AC070A74}" name="ID"/>
    <tableColumn id="2" xr3:uid="{D3CD5024-B197-422F-BABD-F76BAD4C09D5}" name="Pagina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BCDB15F-39E2-4D22-A5F3-7E0244C0226B}" name="Tabla2325" displayName="Tabla2325" ref="D88:F91" totalsRowShown="0">
  <autoFilter ref="D88:F91" xr:uid="{3BCDB15F-39E2-4D22-A5F3-7E0244C0226B}"/>
  <tableColumns count="3">
    <tableColumn id="1" xr3:uid="{2E670FCF-1D70-42EE-BF2D-43F65298CE3C}" name="ID"/>
    <tableColumn id="2" xr3:uid="{07314AF4-A0B1-4694-870D-5FF7668BF237}" name="Nombre"/>
    <tableColumn id="3" xr3:uid="{6229BA29-18D1-47DD-995E-DDF7832AEC46}" name="Activo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603B1BB5-0E4C-4377-B4E9-1203B7A1C3FB}" name="Tabla826" displayName="Tabla826" ref="A102:I105" totalsRowShown="0">
  <autoFilter ref="A102:I105" xr:uid="{603B1BB5-0E4C-4377-B4E9-1203B7A1C3FB}"/>
  <tableColumns count="9">
    <tableColumn id="1" xr3:uid="{62362053-8A80-4FF4-AB6D-40430AC5A5F4}" name="ID"/>
    <tableColumn id="5" xr3:uid="{7B2052E1-C43E-4046-BE46-97E55A7FBE0F}" name="IdTipoTexto"/>
    <tableColumn id="6" xr3:uid="{A93952EC-78FC-4DD0-B380-1E659DE63DFD}" name="IdFuente"/>
    <tableColumn id="7" xr3:uid="{BB786B7B-E29D-4A14-B248-C9584ED0A547}" name="Color"/>
    <tableColumn id="8" xr3:uid="{FFCC595A-F6A5-43DB-94E4-BD4E0394F4ED}" name="Tamaño"/>
    <tableColumn id="9" xr3:uid="{A8921874-6C7F-4FBA-936A-D4B602C93F67}" name="Mayuscula"/>
    <tableColumn id="10" xr3:uid="{AF446AA5-2F2C-4048-99E1-18C03C00DFCF}" name="Contraste"/>
    <tableColumn id="11" xr3:uid="{4DD925C6-883F-40E6-911F-7E9E42C2279C}" name="Espaciado"/>
    <tableColumn id="3" xr3:uid="{3715AA2C-BDFD-4A0F-9EEC-4D0E838CD882}" name="Activo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42635A-3ED7-432B-A4A5-0CA9F365C85C}" name="Tabla232527" displayName="Tabla232527" ref="H88:L91" totalsRowShown="0">
  <autoFilter ref="H88:L91" xr:uid="{0B42635A-3ED7-432B-A4A5-0CA9F365C85C}"/>
  <tableColumns count="5">
    <tableColumn id="1" xr3:uid="{3FA20A71-CF47-4DAB-951A-7C4FC5084311}" name="ID"/>
    <tableColumn id="2" xr3:uid="{79A7F6F7-1859-4BB3-B79B-BFF30483BAB2}" name="Nombre"/>
    <tableColumn id="5" xr3:uid="{48F19664-7170-46E7-8830-804ED59C4F30}" name="Declaracion"/>
    <tableColumn id="4" xr3:uid="{098E8492-CDA9-4DF7-B3B0-2DABDE9A52CD}" name="URLFuente"/>
    <tableColumn id="3" xr3:uid="{F7077B09-954A-4A25-96B1-3B3866C4F1D9}" name="Activo"/>
  </tableColumns>
  <tableStyleInfo name="TableStyleLight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5376336-314C-4E5C-9773-BCBED3F2A22E}" name="Tabla27" displayName="Tabla27" ref="A109:E112" totalsRowShown="0">
  <autoFilter ref="A109:E112" xr:uid="{B5376336-314C-4E5C-9773-BCBED3F2A22E}"/>
  <tableColumns count="5">
    <tableColumn id="1" xr3:uid="{5FE15933-BCF6-468F-AF7F-09630168B046}" name="ID"/>
    <tableColumn id="2" xr3:uid="{B7750034-1E27-4E92-856C-30E5F48E7B9E}" name="IdPagina"/>
    <tableColumn id="3" xr3:uid="{61419E12-5C48-471B-A94C-365D61B394C2}" name="IdBackground"/>
    <tableColumn id="4" xr3:uid="{3B4A719A-180B-4B39-9C10-B58CA3A5C88C}" name="IdEdicionTexto"/>
    <tableColumn id="5" xr3:uid="{4B5372AE-F961-4286-86FB-E03ECC3B0166}" name="Activ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26" Type="http://schemas.openxmlformats.org/officeDocument/2006/relationships/table" Target="../tables/table24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5" Type="http://schemas.openxmlformats.org/officeDocument/2006/relationships/table" Target="../tables/table23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29" Type="http://schemas.openxmlformats.org/officeDocument/2006/relationships/table" Target="../tables/table27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24" Type="http://schemas.openxmlformats.org/officeDocument/2006/relationships/table" Target="../tables/table22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table" Target="../tables/table21.xml"/><Relationship Id="rId28" Type="http://schemas.openxmlformats.org/officeDocument/2006/relationships/table" Target="../tables/table26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Relationship Id="rId27" Type="http://schemas.openxmlformats.org/officeDocument/2006/relationships/table" Target="../tables/table25.xml"/><Relationship Id="rId30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P112"/>
  <sheetViews>
    <sheetView tabSelected="1" topLeftCell="A92" zoomScale="79" zoomScaleNormal="79" workbookViewId="0">
      <selection activeCell="G114" sqref="G114"/>
    </sheetView>
  </sheetViews>
  <sheetFormatPr baseColWidth="10" defaultRowHeight="14.4" x14ac:dyDescent="0.3"/>
  <cols>
    <col min="1" max="1" width="5.77734375" bestFit="1" customWidth="1"/>
    <col min="2" max="2" width="24" bestFit="1" customWidth="1"/>
    <col min="3" max="3" width="19.6640625" bestFit="1" customWidth="1"/>
    <col min="4" max="4" width="28.77734375" bestFit="1" customWidth="1"/>
    <col min="5" max="6" width="24.88671875" bestFit="1" customWidth="1"/>
    <col min="7" max="7" width="22.21875" bestFit="1" customWidth="1"/>
    <col min="8" max="8" width="14.88671875" bestFit="1" customWidth="1"/>
    <col min="9" max="9" width="17.5546875" bestFit="1" customWidth="1"/>
    <col min="10" max="10" width="27.21875" bestFit="1" customWidth="1"/>
    <col min="11" max="12" width="13.77734375" bestFit="1" customWidth="1"/>
    <col min="13" max="13" width="15.109375" bestFit="1" customWidth="1"/>
    <col min="14" max="14" width="18.109375" bestFit="1" customWidth="1"/>
    <col min="15" max="15" width="12.21875" bestFit="1" customWidth="1"/>
    <col min="16" max="16" width="11.33203125" bestFit="1" customWidth="1"/>
    <col min="17" max="17" width="16" bestFit="1" customWidth="1"/>
    <col min="18" max="18" width="12.109375" bestFit="1" customWidth="1"/>
  </cols>
  <sheetData>
    <row r="1" spans="1:16" x14ac:dyDescent="0.3">
      <c r="B1" s="11" t="s">
        <v>105</v>
      </c>
      <c r="C1" s="10" t="s">
        <v>106</v>
      </c>
      <c r="D1" s="12" t="s">
        <v>107</v>
      </c>
    </row>
    <row r="4" spans="1:16" ht="15" thickBot="1" x14ac:dyDescent="0.35"/>
    <row r="5" spans="1:16" x14ac:dyDescent="0.3">
      <c r="A5" s="16" t="s">
        <v>36</v>
      </c>
      <c r="B5" s="17"/>
      <c r="C5" s="17"/>
      <c r="D5" s="17"/>
      <c r="E5" s="17"/>
      <c r="F5" s="17"/>
      <c r="G5" s="18"/>
      <c r="I5" s="16" t="s">
        <v>47</v>
      </c>
      <c r="J5" s="17"/>
      <c r="K5" s="18"/>
    </row>
    <row r="6" spans="1:16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</row>
    <row r="7" spans="1:16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</row>
    <row r="8" spans="1:16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</row>
    <row r="9" spans="1:16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</row>
    <row r="11" spans="1:16" ht="15" thickBot="1" x14ac:dyDescent="0.35"/>
    <row r="12" spans="1:16" x14ac:dyDescent="0.3">
      <c r="A12" s="19" t="s">
        <v>0</v>
      </c>
      <c r="B12" s="20"/>
      <c r="C12" s="20"/>
      <c r="D12" s="20"/>
      <c r="E12" s="21"/>
      <c r="G12" s="19" t="s">
        <v>7</v>
      </c>
      <c r="H12" s="20"/>
      <c r="I12" s="20"/>
      <c r="J12" s="20"/>
      <c r="K12" s="21"/>
      <c r="M12" s="19" t="s">
        <v>12</v>
      </c>
      <c r="N12" s="20"/>
      <c r="O12" s="20"/>
      <c r="P12" s="21"/>
    </row>
    <row r="13" spans="1:16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t="s">
        <v>57</v>
      </c>
      <c r="K13" s="2" t="s">
        <v>3</v>
      </c>
      <c r="M13" s="1" t="s">
        <v>1</v>
      </c>
      <c r="N13" t="s">
        <v>14</v>
      </c>
      <c r="O13" t="s">
        <v>13</v>
      </c>
      <c r="P13" s="2" t="s">
        <v>3</v>
      </c>
    </row>
    <row r="14" spans="1:16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t="s">
        <v>58</v>
      </c>
      <c r="K14" s="2" t="b">
        <v>1</v>
      </c>
      <c r="M14" s="1">
        <v>1</v>
      </c>
      <c r="N14" t="s">
        <v>15</v>
      </c>
      <c r="O14" t="s">
        <v>11</v>
      </c>
      <c r="P14" s="2" t="b">
        <v>1</v>
      </c>
    </row>
    <row r="15" spans="1:16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t="s">
        <v>58</v>
      </c>
      <c r="K15" s="2" t="b">
        <v>1</v>
      </c>
      <c r="M15" s="1">
        <v>2</v>
      </c>
      <c r="N15" t="s">
        <v>16</v>
      </c>
      <c r="O15" t="s">
        <v>11</v>
      </c>
      <c r="P15" s="2" t="b">
        <v>1</v>
      </c>
    </row>
    <row r="16" spans="1:16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4" t="s">
        <v>58</v>
      </c>
      <c r="K16" s="5" t="b">
        <v>0</v>
      </c>
      <c r="M16" s="3">
        <v>3</v>
      </c>
      <c r="N16" s="4" t="s">
        <v>17</v>
      </c>
      <c r="O16" s="4" t="s">
        <v>11</v>
      </c>
      <c r="P16" s="5" t="b">
        <v>1</v>
      </c>
    </row>
    <row r="18" spans="1:12" ht="15" thickBot="1" x14ac:dyDescent="0.35"/>
    <row r="19" spans="1:12" x14ac:dyDescent="0.3">
      <c r="A19" s="19" t="s">
        <v>18</v>
      </c>
      <c r="B19" s="20"/>
      <c r="C19" s="20"/>
      <c r="D19" s="21"/>
      <c r="F19" s="19" t="s">
        <v>109</v>
      </c>
      <c r="G19" s="20"/>
      <c r="H19" s="20"/>
      <c r="I19" s="20"/>
      <c r="J19" s="20"/>
      <c r="K19" s="20"/>
      <c r="L19" s="21"/>
    </row>
    <row r="20" spans="1:12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t="s">
        <v>31</v>
      </c>
      <c r="K20" t="s">
        <v>108</v>
      </c>
      <c r="L20" s="2" t="s">
        <v>3</v>
      </c>
    </row>
    <row r="21" spans="1:12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12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12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12" ht="15" thickBot="1" x14ac:dyDescent="0.35"/>
    <row r="26" spans="1:12" x14ac:dyDescent="0.3">
      <c r="A26" s="19" t="s">
        <v>34</v>
      </c>
      <c r="B26" s="20"/>
      <c r="C26" s="20"/>
      <c r="D26" s="20"/>
      <c r="E26" s="20"/>
      <c r="F26" s="20"/>
      <c r="G26" s="21"/>
      <c r="I26" s="19" t="s">
        <v>59</v>
      </c>
      <c r="J26" s="20"/>
      <c r="K26" s="21"/>
    </row>
    <row r="27" spans="1:12" x14ac:dyDescent="0.3">
      <c r="A27" s="1" t="s">
        <v>1</v>
      </c>
      <c r="B27" t="s">
        <v>32</v>
      </c>
      <c r="C27" t="s">
        <v>64</v>
      </c>
      <c r="D27" t="s">
        <v>66</v>
      </c>
      <c r="E27" t="s">
        <v>133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</row>
    <row r="28" spans="1:12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61</v>
      </c>
      <c r="K28" s="2" t="b">
        <v>1</v>
      </c>
    </row>
    <row r="29" spans="1:12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62</v>
      </c>
      <c r="K29" s="2" t="b">
        <v>1</v>
      </c>
    </row>
    <row r="30" spans="1:12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</row>
    <row r="32" spans="1:12" ht="15" thickBot="1" x14ac:dyDescent="0.35"/>
    <row r="33" spans="1:14" x14ac:dyDescent="0.3">
      <c r="A33" s="19" t="s">
        <v>55</v>
      </c>
      <c r="B33" s="20"/>
      <c r="C33" s="20"/>
      <c r="D33" s="20"/>
      <c r="E33" s="20"/>
      <c r="F33" s="20"/>
      <c r="G33" s="20"/>
      <c r="H33" s="20"/>
      <c r="I33" s="21"/>
      <c r="K33" s="19" t="s">
        <v>134</v>
      </c>
      <c r="L33" s="20"/>
      <c r="M33" s="20"/>
      <c r="N33" s="21"/>
    </row>
    <row r="34" spans="1:14" x14ac:dyDescent="0.3">
      <c r="A34" s="1" t="s">
        <v>1</v>
      </c>
      <c r="B34" t="s">
        <v>32</v>
      </c>
      <c r="C34" t="s">
        <v>33</v>
      </c>
      <c r="D34" t="s">
        <v>57</v>
      </c>
      <c r="E34" t="s">
        <v>56</v>
      </c>
      <c r="F34" t="s">
        <v>64</v>
      </c>
      <c r="G34" t="s">
        <v>65</v>
      </c>
      <c r="H34" t="s">
        <v>115</v>
      </c>
      <c r="I34" s="2" t="s">
        <v>3</v>
      </c>
      <c r="K34" s="1" t="s">
        <v>1</v>
      </c>
      <c r="L34" t="s">
        <v>113</v>
      </c>
      <c r="M34" t="s">
        <v>114</v>
      </c>
      <c r="N34" s="2" t="s">
        <v>3</v>
      </c>
    </row>
    <row r="35" spans="1:14" x14ac:dyDescent="0.3">
      <c r="A35" s="1">
        <v>1</v>
      </c>
      <c r="B35">
        <v>1</v>
      </c>
      <c r="C35">
        <v>1</v>
      </c>
      <c r="D35" t="s">
        <v>58</v>
      </c>
      <c r="E35">
        <v>1</v>
      </c>
      <c r="F35">
        <v>1</v>
      </c>
      <c r="G35" t="s">
        <v>11</v>
      </c>
      <c r="H35" t="b">
        <v>1</v>
      </c>
      <c r="I35" s="2" t="b">
        <v>1</v>
      </c>
      <c r="K35" s="1">
        <v>1</v>
      </c>
      <c r="L35">
        <v>1</v>
      </c>
      <c r="M35">
        <v>1</v>
      </c>
      <c r="N35" s="2" t="b">
        <v>1</v>
      </c>
    </row>
    <row r="36" spans="1:14" x14ac:dyDescent="0.3">
      <c r="A36" s="1">
        <v>2</v>
      </c>
      <c r="B36">
        <v>1</v>
      </c>
      <c r="C36">
        <v>2</v>
      </c>
      <c r="D36" t="s">
        <v>58</v>
      </c>
      <c r="E36">
        <v>1</v>
      </c>
      <c r="F36">
        <v>1</v>
      </c>
      <c r="G36" t="s">
        <v>11</v>
      </c>
      <c r="H36" t="b">
        <v>0</v>
      </c>
      <c r="I36" s="2" t="b">
        <v>1</v>
      </c>
      <c r="K36" s="1">
        <v>2</v>
      </c>
      <c r="L36">
        <v>1</v>
      </c>
      <c r="M36">
        <v>2</v>
      </c>
      <c r="N36" s="2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">
        <v>3</v>
      </c>
      <c r="L37" s="4">
        <v>2</v>
      </c>
      <c r="M37" s="4">
        <v>2</v>
      </c>
      <c r="N37" s="5" t="b">
        <v>1</v>
      </c>
    </row>
    <row r="39" spans="1:14" ht="15" thickBot="1" x14ac:dyDescent="0.35"/>
    <row r="40" spans="1:14" x14ac:dyDescent="0.3">
      <c r="A40" s="19" t="s">
        <v>68</v>
      </c>
      <c r="B40" s="20"/>
      <c r="C40" s="20"/>
      <c r="D40" s="20"/>
      <c r="E40" s="20"/>
      <c r="F40" s="21"/>
      <c r="H40" s="19" t="s">
        <v>152</v>
      </c>
      <c r="I40" s="20"/>
      <c r="J40" s="20"/>
      <c r="K40" s="20"/>
      <c r="L40" s="20"/>
      <c r="M40" s="21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1" t="s">
        <v>1</v>
      </c>
      <c r="I41" t="s">
        <v>116</v>
      </c>
      <c r="J41" t="s">
        <v>117</v>
      </c>
      <c r="K41" t="s">
        <v>118</v>
      </c>
      <c r="L41" t="s">
        <v>190</v>
      </c>
      <c r="M41" s="2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1">
        <v>1</v>
      </c>
      <c r="I42">
        <v>1</v>
      </c>
      <c r="J42" t="s">
        <v>119</v>
      </c>
      <c r="K42" t="s">
        <v>11</v>
      </c>
      <c r="L42" t="b">
        <v>1</v>
      </c>
      <c r="M42" s="2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1">
        <v>2</v>
      </c>
      <c r="I43">
        <v>1</v>
      </c>
      <c r="J43" t="s">
        <v>120</v>
      </c>
      <c r="K43" t="s">
        <v>11</v>
      </c>
      <c r="L43" t="b">
        <v>1</v>
      </c>
      <c r="M43" s="2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">
        <v>3</v>
      </c>
      <c r="I44" s="4">
        <v>1</v>
      </c>
      <c r="J44" s="4" t="s">
        <v>121</v>
      </c>
      <c r="K44" s="4" t="s">
        <v>11</v>
      </c>
      <c r="L44" s="4" t="b">
        <v>1</v>
      </c>
      <c r="M44" s="5" t="b">
        <v>1</v>
      </c>
    </row>
    <row r="46" spans="1:14" ht="15" thickBot="1" x14ac:dyDescent="0.35"/>
    <row r="47" spans="1:14" x14ac:dyDescent="0.3">
      <c r="A47" s="19" t="s">
        <v>83</v>
      </c>
      <c r="B47" s="20"/>
      <c r="C47" s="20"/>
      <c r="D47" s="21"/>
      <c r="F47" s="19" t="s">
        <v>72</v>
      </c>
      <c r="G47" s="20"/>
      <c r="H47" s="20"/>
      <c r="I47" s="20"/>
      <c r="J47" s="20"/>
      <c r="K47" s="20"/>
      <c r="L47" s="21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s="2" t="s">
        <v>3</v>
      </c>
    </row>
    <row r="49" spans="1:12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s="2" t="b">
        <v>1</v>
      </c>
    </row>
    <row r="50" spans="1:12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s="2" t="b">
        <v>1</v>
      </c>
    </row>
    <row r="51" spans="1:12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5" t="b">
        <v>1</v>
      </c>
    </row>
    <row r="53" spans="1:12" ht="15" thickBot="1" x14ac:dyDescent="0.35"/>
    <row r="54" spans="1:12" x14ac:dyDescent="0.3">
      <c r="A54" s="19" t="s">
        <v>86</v>
      </c>
      <c r="B54" s="20"/>
      <c r="C54" s="20"/>
      <c r="D54" s="20"/>
      <c r="E54" s="20"/>
      <c r="F54" s="20"/>
      <c r="G54" s="20"/>
      <c r="H54" s="20"/>
      <c r="I54" s="21"/>
    </row>
    <row r="55" spans="1:12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2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2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2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2" ht="15" thickBot="1" x14ac:dyDescent="0.35"/>
    <row r="61" spans="1:12" x14ac:dyDescent="0.3">
      <c r="A61" s="19" t="s">
        <v>135</v>
      </c>
      <c r="B61" s="20"/>
      <c r="C61" s="20"/>
      <c r="D61" s="20"/>
      <c r="E61" s="21"/>
      <c r="G61" s="19" t="s">
        <v>136</v>
      </c>
      <c r="H61" s="20"/>
      <c r="I61" s="20"/>
      <c r="J61" s="20"/>
      <c r="K61" s="21"/>
    </row>
    <row r="62" spans="1:12" x14ac:dyDescent="0.3">
      <c r="A62" s="1" t="s">
        <v>1</v>
      </c>
      <c r="B62" t="s">
        <v>138</v>
      </c>
      <c r="C62" t="s">
        <v>37</v>
      </c>
      <c r="D62" t="s">
        <v>39</v>
      </c>
      <c r="E62" s="2" t="s">
        <v>3</v>
      </c>
      <c r="G62" s="1" t="s">
        <v>1</v>
      </c>
      <c r="H62" t="s">
        <v>138</v>
      </c>
      <c r="I62" t="s">
        <v>37</v>
      </c>
      <c r="J62" t="s">
        <v>90</v>
      </c>
      <c r="K62" s="2" t="s">
        <v>3</v>
      </c>
    </row>
    <row r="63" spans="1:12" x14ac:dyDescent="0.3">
      <c r="A63" s="1">
        <v>1</v>
      </c>
      <c r="B63">
        <v>1</v>
      </c>
      <c r="C63" t="s">
        <v>122</v>
      </c>
      <c r="D63" t="str">
        <f>CONCATENATE(C63,"@andez.com.ar")</f>
        <v>Compras@andez.com.ar</v>
      </c>
      <c r="E63" s="2" t="b">
        <v>1</v>
      </c>
      <c r="G63" s="1">
        <v>1</v>
      </c>
      <c r="H63">
        <v>1</v>
      </c>
      <c r="I63" t="s">
        <v>125</v>
      </c>
      <c r="J63">
        <v>45552646</v>
      </c>
      <c r="K63" s="2" t="b">
        <v>1</v>
      </c>
    </row>
    <row r="64" spans="1:12" x14ac:dyDescent="0.3">
      <c r="A64" s="1">
        <v>2</v>
      </c>
      <c r="B64">
        <v>1</v>
      </c>
      <c r="C64" t="s">
        <v>123</v>
      </c>
      <c r="D64" t="str">
        <f>CONCATENATE(C64,"@andez.com.ar")</f>
        <v>RRHH@andez.com.ar</v>
      </c>
      <c r="E64" s="2" t="b">
        <v>1</v>
      </c>
      <c r="G64" s="1">
        <v>2</v>
      </c>
      <c r="H64">
        <v>1</v>
      </c>
      <c r="I64" t="s">
        <v>126</v>
      </c>
      <c r="J64">
        <v>45552646</v>
      </c>
      <c r="K64" s="2" t="b">
        <v>1</v>
      </c>
    </row>
    <row r="65" spans="1:12" ht="15" thickBot="1" x14ac:dyDescent="0.35">
      <c r="A65" s="3">
        <v>3</v>
      </c>
      <c r="B65" s="4">
        <v>1</v>
      </c>
      <c r="C65" s="4" t="s">
        <v>124</v>
      </c>
      <c r="D65" s="4" t="str">
        <f>CONCATENATE(C65,"@andez.com.ar")</f>
        <v>Ventas@andez.com.ar</v>
      </c>
      <c r="E65" s="5" t="b">
        <v>1</v>
      </c>
      <c r="G65" s="3">
        <v>3</v>
      </c>
      <c r="H65" s="4">
        <v>1</v>
      </c>
      <c r="I65" s="4" t="s">
        <v>127</v>
      </c>
      <c r="J65" s="4">
        <v>1545552646</v>
      </c>
      <c r="K65" s="5" t="b">
        <v>1</v>
      </c>
    </row>
    <row r="67" spans="1:12" ht="15" thickBot="1" x14ac:dyDescent="0.35"/>
    <row r="68" spans="1:12" x14ac:dyDescent="0.3">
      <c r="A68" s="19" t="s">
        <v>137</v>
      </c>
      <c r="B68" s="20"/>
      <c r="C68" s="20"/>
      <c r="D68" s="20"/>
      <c r="E68" s="21"/>
    </row>
    <row r="69" spans="1:12" x14ac:dyDescent="0.3">
      <c r="A69" s="1" t="s">
        <v>1</v>
      </c>
      <c r="B69" t="s">
        <v>138</v>
      </c>
      <c r="C69" t="s">
        <v>128</v>
      </c>
      <c r="D69" t="s">
        <v>129</v>
      </c>
      <c r="E69" s="13" t="s">
        <v>3</v>
      </c>
    </row>
    <row r="70" spans="1:12" x14ac:dyDescent="0.3">
      <c r="A70" s="1">
        <v>1</v>
      </c>
      <c r="B70">
        <v>1</v>
      </c>
      <c r="C70" t="s">
        <v>131</v>
      </c>
      <c r="D70" t="s">
        <v>11</v>
      </c>
      <c r="E70" s="2" t="b">
        <v>1</v>
      </c>
    </row>
    <row r="71" spans="1:12" x14ac:dyDescent="0.3">
      <c r="A71" s="1">
        <v>2</v>
      </c>
      <c r="B71">
        <v>1</v>
      </c>
      <c r="C71" t="s">
        <v>130</v>
      </c>
      <c r="D71" t="s">
        <v>11</v>
      </c>
      <c r="E71" s="2" t="b">
        <v>1</v>
      </c>
    </row>
    <row r="72" spans="1:12" ht="15" thickBot="1" x14ac:dyDescent="0.35">
      <c r="A72" s="3">
        <v>3</v>
      </c>
      <c r="B72" s="4">
        <v>1</v>
      </c>
      <c r="C72" s="4" t="s">
        <v>132</v>
      </c>
      <c r="D72" s="4" t="s">
        <v>11</v>
      </c>
      <c r="E72" s="5" t="b">
        <v>1</v>
      </c>
    </row>
    <row r="74" spans="1:12" ht="15" thickBot="1" x14ac:dyDescent="0.35"/>
    <row r="75" spans="1:12" x14ac:dyDescent="0.3">
      <c r="A75" s="19" t="s">
        <v>139</v>
      </c>
      <c r="B75" s="20"/>
      <c r="C75" s="20"/>
      <c r="D75" s="20"/>
      <c r="E75" s="20"/>
      <c r="F75" s="20"/>
      <c r="G75" s="20"/>
      <c r="H75" s="20"/>
      <c r="I75" s="20"/>
      <c r="J75" s="21"/>
    </row>
    <row r="76" spans="1:12" x14ac:dyDescent="0.3">
      <c r="A76" s="1" t="s">
        <v>1</v>
      </c>
      <c r="B76" t="s">
        <v>87</v>
      </c>
      <c r="C76" t="s">
        <v>141</v>
      </c>
      <c r="D76" t="s">
        <v>88</v>
      </c>
      <c r="E76" t="s">
        <v>144</v>
      </c>
      <c r="F76" t="s">
        <v>146</v>
      </c>
      <c r="G76" t="s">
        <v>89</v>
      </c>
      <c r="H76" t="s">
        <v>148</v>
      </c>
      <c r="I76" t="s">
        <v>150</v>
      </c>
      <c r="J76" s="2" t="s">
        <v>3</v>
      </c>
    </row>
    <row r="77" spans="1:12" ht="15" thickBot="1" x14ac:dyDescent="0.35">
      <c r="A77" s="3">
        <v>1</v>
      </c>
      <c r="B77" s="4" t="s">
        <v>140</v>
      </c>
      <c r="C77" s="4" t="s">
        <v>142</v>
      </c>
      <c r="D77" s="4" t="s">
        <v>143</v>
      </c>
      <c r="E77" s="4" t="s">
        <v>145</v>
      </c>
      <c r="F77" s="4" t="s">
        <v>147</v>
      </c>
      <c r="G77" s="4">
        <v>2</v>
      </c>
      <c r="H77" s="4" t="s">
        <v>149</v>
      </c>
      <c r="I77" s="4" t="s">
        <v>151</v>
      </c>
      <c r="J77" s="5" t="b">
        <v>1</v>
      </c>
    </row>
    <row r="79" spans="1:12" ht="15" thickBot="1" x14ac:dyDescent="0.35"/>
    <row r="80" spans="1:12" x14ac:dyDescent="0.3">
      <c r="A80" s="19" t="s">
        <v>153</v>
      </c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1"/>
    </row>
    <row r="81" spans="1:14" x14ac:dyDescent="0.3">
      <c r="A81" s="1" t="s">
        <v>1</v>
      </c>
      <c r="B81" t="s">
        <v>154</v>
      </c>
      <c r="C81" t="s">
        <v>197</v>
      </c>
      <c r="D81" t="s">
        <v>37</v>
      </c>
      <c r="E81" t="s">
        <v>118</v>
      </c>
      <c r="F81" t="s">
        <v>117</v>
      </c>
      <c r="G81" t="s">
        <v>57</v>
      </c>
      <c r="H81" t="s">
        <v>155</v>
      </c>
      <c r="I81" t="s">
        <v>156</v>
      </c>
      <c r="J81" t="s">
        <v>157</v>
      </c>
      <c r="K81" t="s">
        <v>158</v>
      </c>
      <c r="L81" s="2" t="s">
        <v>3</v>
      </c>
    </row>
    <row r="82" spans="1:14" x14ac:dyDescent="0.3">
      <c r="A82" s="1">
        <v>1</v>
      </c>
      <c r="B82">
        <v>1</v>
      </c>
      <c r="C82">
        <v>1</v>
      </c>
      <c r="D82" t="s">
        <v>159</v>
      </c>
      <c r="E82" t="s">
        <v>11</v>
      </c>
      <c r="F82" t="s">
        <v>162</v>
      </c>
      <c r="G82" s="15" t="s">
        <v>58</v>
      </c>
      <c r="H82" t="s">
        <v>11</v>
      </c>
      <c r="I82" t="b">
        <v>1</v>
      </c>
      <c r="J82" t="b">
        <v>1</v>
      </c>
      <c r="K82" t="b">
        <v>0</v>
      </c>
      <c r="L82" s="8" t="b">
        <v>1</v>
      </c>
    </row>
    <row r="83" spans="1:14" x14ac:dyDescent="0.3">
      <c r="A83" s="1">
        <v>2</v>
      </c>
      <c r="B83">
        <v>2</v>
      </c>
      <c r="C83">
        <v>5</v>
      </c>
      <c r="D83" t="s">
        <v>160</v>
      </c>
      <c r="E83" t="s">
        <v>11</v>
      </c>
      <c r="F83" t="s">
        <v>163</v>
      </c>
      <c r="G83" s="15" t="s">
        <v>58</v>
      </c>
      <c r="H83" t="s">
        <v>191</v>
      </c>
      <c r="I83" t="b">
        <v>0</v>
      </c>
      <c r="J83" t="b">
        <v>0</v>
      </c>
      <c r="K83" t="b">
        <v>0</v>
      </c>
      <c r="L83" s="2" t="b">
        <v>1</v>
      </c>
    </row>
    <row r="84" spans="1:14" ht="15" thickBot="1" x14ac:dyDescent="0.35">
      <c r="A84" s="3">
        <v>3</v>
      </c>
      <c r="B84" s="4">
        <v>3</v>
      </c>
      <c r="C84" s="4">
        <v>2</v>
      </c>
      <c r="D84" s="4" t="s">
        <v>161</v>
      </c>
      <c r="E84" s="4" t="s">
        <v>11</v>
      </c>
      <c r="F84" s="4" t="s">
        <v>164</v>
      </c>
      <c r="G84" s="14" t="s">
        <v>58</v>
      </c>
      <c r="H84" s="4" t="s">
        <v>11</v>
      </c>
      <c r="I84" s="4" t="b">
        <v>1</v>
      </c>
      <c r="J84" s="4" t="b">
        <v>0</v>
      </c>
      <c r="K84" s="4" t="b">
        <v>0</v>
      </c>
      <c r="L84" s="9" t="b">
        <v>1</v>
      </c>
    </row>
    <row r="86" spans="1:14" ht="15" thickBot="1" x14ac:dyDescent="0.35"/>
    <row r="87" spans="1:14" x14ac:dyDescent="0.3">
      <c r="A87" s="19" t="s">
        <v>165</v>
      </c>
      <c r="B87" s="21"/>
      <c r="D87" s="19" t="s">
        <v>168</v>
      </c>
      <c r="E87" s="20"/>
      <c r="F87" s="21"/>
      <c r="H87" s="19" t="s">
        <v>183</v>
      </c>
      <c r="I87" s="20"/>
      <c r="J87" s="20"/>
      <c r="K87" s="20"/>
      <c r="L87" s="21"/>
    </row>
    <row r="88" spans="1:14" x14ac:dyDescent="0.3">
      <c r="A88" s="1" t="s">
        <v>1</v>
      </c>
      <c r="B88" s="2" t="s">
        <v>166</v>
      </c>
      <c r="D88" s="1" t="s">
        <v>1</v>
      </c>
      <c r="E88" t="s">
        <v>37</v>
      </c>
      <c r="F88" s="2" t="s">
        <v>3</v>
      </c>
      <c r="H88" s="1" t="s">
        <v>1</v>
      </c>
      <c r="I88" s="22" t="s">
        <v>37</v>
      </c>
      <c r="J88" s="22" t="s">
        <v>204</v>
      </c>
      <c r="K88" s="22" t="s">
        <v>199</v>
      </c>
      <c r="L88" s="2" t="s">
        <v>3</v>
      </c>
    </row>
    <row r="89" spans="1:14" x14ac:dyDescent="0.3">
      <c r="A89" s="1">
        <v>1</v>
      </c>
      <c r="B89" s="2" t="s">
        <v>167</v>
      </c>
      <c r="D89" s="1">
        <v>1</v>
      </c>
      <c r="E89" t="s">
        <v>117</v>
      </c>
      <c r="F89" s="2" t="b">
        <v>1</v>
      </c>
      <c r="H89" s="1">
        <v>1</v>
      </c>
      <c r="I89" s="22" t="s">
        <v>184</v>
      </c>
      <c r="J89" s="22" t="s">
        <v>200</v>
      </c>
      <c r="K89" s="22" t="s">
        <v>191</v>
      </c>
      <c r="L89" s="2" t="b">
        <v>1</v>
      </c>
    </row>
    <row r="90" spans="1:14" x14ac:dyDescent="0.3">
      <c r="A90" s="1">
        <v>2</v>
      </c>
      <c r="B90" s="2" t="s">
        <v>86</v>
      </c>
      <c r="D90" s="1">
        <v>2</v>
      </c>
      <c r="E90" t="s">
        <v>169</v>
      </c>
      <c r="F90" s="2" t="b">
        <v>1</v>
      </c>
      <c r="H90" s="1">
        <v>2</v>
      </c>
      <c r="I90" s="22" t="s">
        <v>185</v>
      </c>
      <c r="J90" s="22" t="s">
        <v>201</v>
      </c>
      <c r="K90" s="22" t="s">
        <v>191</v>
      </c>
      <c r="L90" s="2" t="b">
        <v>1</v>
      </c>
    </row>
    <row r="91" spans="1:14" ht="15" thickBot="1" x14ac:dyDescent="0.35">
      <c r="A91" s="3">
        <v>3</v>
      </c>
      <c r="B91" s="5" t="s">
        <v>49</v>
      </c>
      <c r="D91" s="3">
        <v>3</v>
      </c>
      <c r="E91" s="4" t="s">
        <v>170</v>
      </c>
      <c r="F91" s="5" t="b">
        <v>1</v>
      </c>
      <c r="H91" s="3">
        <v>3</v>
      </c>
      <c r="I91" s="4" t="s">
        <v>202</v>
      </c>
      <c r="J91" s="4" t="s">
        <v>203</v>
      </c>
      <c r="K91" s="4" t="s">
        <v>191</v>
      </c>
      <c r="L91" s="5" t="b">
        <v>1</v>
      </c>
    </row>
    <row r="93" spans="1:14" ht="15" thickBot="1" x14ac:dyDescent="0.35"/>
    <row r="94" spans="1:14" x14ac:dyDescent="0.3">
      <c r="A94" s="19" t="s">
        <v>196</v>
      </c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1"/>
    </row>
    <row r="95" spans="1:14" x14ac:dyDescent="0.3">
      <c r="A95" s="1" t="s">
        <v>1</v>
      </c>
      <c r="B95" t="s">
        <v>182</v>
      </c>
      <c r="C95" t="s">
        <v>171</v>
      </c>
      <c r="D95" t="s">
        <v>172</v>
      </c>
      <c r="E95" t="s">
        <v>173</v>
      </c>
      <c r="F95" t="s">
        <v>174</v>
      </c>
      <c r="G95" t="s">
        <v>176</v>
      </c>
      <c r="H95" t="s">
        <v>175</v>
      </c>
      <c r="I95" t="s">
        <v>177</v>
      </c>
      <c r="J95" t="s">
        <v>178</v>
      </c>
      <c r="K95" t="s">
        <v>179</v>
      </c>
      <c r="L95" t="s">
        <v>180</v>
      </c>
      <c r="M95" t="s">
        <v>181</v>
      </c>
      <c r="N95" s="2" t="s">
        <v>3</v>
      </c>
    </row>
    <row r="96" spans="1:14" x14ac:dyDescent="0.3">
      <c r="A96" s="1">
        <v>1</v>
      </c>
      <c r="B96" t="s">
        <v>11</v>
      </c>
      <c r="C96" t="s">
        <v>191</v>
      </c>
      <c r="D96" t="s">
        <v>191</v>
      </c>
      <c r="E96" t="s">
        <v>191</v>
      </c>
      <c r="F96" t="s">
        <v>191</v>
      </c>
      <c r="G96" t="s">
        <v>191</v>
      </c>
      <c r="H96" t="s">
        <v>191</v>
      </c>
      <c r="I96" t="s">
        <v>191</v>
      </c>
      <c r="J96" t="s">
        <v>191</v>
      </c>
      <c r="K96" t="s">
        <v>191</v>
      </c>
      <c r="L96" t="s">
        <v>191</v>
      </c>
      <c r="M96" t="s">
        <v>191</v>
      </c>
      <c r="N96" s="2" t="b">
        <v>1</v>
      </c>
    </row>
    <row r="97" spans="1:14" x14ac:dyDescent="0.3">
      <c r="A97" s="1">
        <v>2</v>
      </c>
      <c r="B97" t="s">
        <v>11</v>
      </c>
      <c r="C97" t="s">
        <v>191</v>
      </c>
      <c r="D97" t="s">
        <v>191</v>
      </c>
      <c r="E97" t="s">
        <v>191</v>
      </c>
      <c r="F97" t="s">
        <v>191</v>
      </c>
      <c r="G97" t="s">
        <v>191</v>
      </c>
      <c r="H97" t="s">
        <v>191</v>
      </c>
      <c r="I97" t="s">
        <v>191</v>
      </c>
      <c r="J97" t="s">
        <v>191</v>
      </c>
      <c r="K97" t="s">
        <v>191</v>
      </c>
      <c r="L97" t="s">
        <v>191</v>
      </c>
      <c r="M97" t="s">
        <v>191</v>
      </c>
      <c r="N97" s="2" t="b">
        <v>1</v>
      </c>
    </row>
    <row r="98" spans="1:14" ht="15" thickBot="1" x14ac:dyDescent="0.35">
      <c r="A98" s="3">
        <v>3</v>
      </c>
      <c r="B98" s="4" t="s">
        <v>11</v>
      </c>
      <c r="C98" t="s">
        <v>191</v>
      </c>
      <c r="D98" t="s">
        <v>191</v>
      </c>
      <c r="E98" t="s">
        <v>191</v>
      </c>
      <c r="F98" t="s">
        <v>191</v>
      </c>
      <c r="G98" t="s">
        <v>191</v>
      </c>
      <c r="H98" t="s">
        <v>191</v>
      </c>
      <c r="I98" t="s">
        <v>191</v>
      </c>
      <c r="J98" t="s">
        <v>191</v>
      </c>
      <c r="K98" t="s">
        <v>191</v>
      </c>
      <c r="L98" t="s">
        <v>191</v>
      </c>
      <c r="M98" t="s">
        <v>191</v>
      </c>
      <c r="N98" s="5" t="b">
        <v>1</v>
      </c>
    </row>
    <row r="100" spans="1:14" ht="15" thickBot="1" x14ac:dyDescent="0.35"/>
    <row r="101" spans="1:14" x14ac:dyDescent="0.3">
      <c r="A101" s="19" t="s">
        <v>195</v>
      </c>
      <c r="B101" s="20"/>
      <c r="C101" s="20"/>
      <c r="D101" s="20"/>
      <c r="E101" s="20"/>
      <c r="F101" s="20"/>
      <c r="G101" s="20"/>
      <c r="H101" s="20"/>
      <c r="I101" s="21"/>
    </row>
    <row r="102" spans="1:14" x14ac:dyDescent="0.3">
      <c r="A102" s="1" t="s">
        <v>1</v>
      </c>
      <c r="B102" t="s">
        <v>186</v>
      </c>
      <c r="C102" t="s">
        <v>187</v>
      </c>
      <c r="D102" t="s">
        <v>0</v>
      </c>
      <c r="E102" t="s">
        <v>189</v>
      </c>
      <c r="F102" t="s">
        <v>192</v>
      </c>
      <c r="G102" t="s">
        <v>180</v>
      </c>
      <c r="H102" t="s">
        <v>193</v>
      </c>
      <c r="I102" s="2" t="s">
        <v>3</v>
      </c>
    </row>
    <row r="103" spans="1:14" x14ac:dyDescent="0.3">
      <c r="A103" s="1">
        <v>1</v>
      </c>
      <c r="B103">
        <v>1</v>
      </c>
      <c r="C103">
        <v>1</v>
      </c>
      <c r="D103" t="s">
        <v>188</v>
      </c>
      <c r="E103">
        <v>18</v>
      </c>
      <c r="F103" t="b">
        <v>0</v>
      </c>
      <c r="G103" t="b">
        <v>0</v>
      </c>
      <c r="H103">
        <v>0</v>
      </c>
      <c r="I103" s="2" t="b">
        <v>1</v>
      </c>
    </row>
    <row r="104" spans="1:14" x14ac:dyDescent="0.3">
      <c r="A104" s="1">
        <v>2</v>
      </c>
      <c r="B104">
        <v>2</v>
      </c>
      <c r="C104">
        <v>3</v>
      </c>
      <c r="D104" t="s">
        <v>188</v>
      </c>
      <c r="E104">
        <v>12</v>
      </c>
      <c r="F104" t="b">
        <v>0</v>
      </c>
      <c r="G104" t="b">
        <v>0</v>
      </c>
      <c r="H104">
        <v>0</v>
      </c>
      <c r="I104" s="2" t="b">
        <v>1</v>
      </c>
    </row>
    <row r="105" spans="1:14" ht="15" thickBot="1" x14ac:dyDescent="0.35">
      <c r="A105" s="3">
        <v>3</v>
      </c>
      <c r="B105" s="4">
        <v>1</v>
      </c>
      <c r="C105" s="4">
        <v>1</v>
      </c>
      <c r="D105" s="4" t="s">
        <v>188</v>
      </c>
      <c r="E105" s="4">
        <v>18</v>
      </c>
      <c r="F105" s="4" t="b">
        <v>0</v>
      </c>
      <c r="G105" s="4" t="b">
        <v>0</v>
      </c>
      <c r="H105" s="4">
        <v>0</v>
      </c>
      <c r="I105" s="5" t="b">
        <v>1</v>
      </c>
    </row>
    <row r="107" spans="1:14" ht="15" thickBot="1" x14ac:dyDescent="0.35"/>
    <row r="108" spans="1:14" x14ac:dyDescent="0.3">
      <c r="A108" s="19" t="s">
        <v>198</v>
      </c>
      <c r="B108" s="20"/>
      <c r="C108" s="20"/>
      <c r="D108" s="20"/>
      <c r="E108" s="21"/>
    </row>
    <row r="109" spans="1:14" x14ac:dyDescent="0.3">
      <c r="A109" s="1" t="s">
        <v>1</v>
      </c>
      <c r="B109" t="s">
        <v>91</v>
      </c>
      <c r="C109" t="s">
        <v>194</v>
      </c>
      <c r="D109" t="s">
        <v>197</v>
      </c>
      <c r="E109" s="2" t="s">
        <v>3</v>
      </c>
    </row>
    <row r="110" spans="1:14" x14ac:dyDescent="0.3">
      <c r="A110" s="1">
        <v>1</v>
      </c>
      <c r="B110">
        <v>3</v>
      </c>
      <c r="C110">
        <v>2</v>
      </c>
      <c r="D110">
        <v>6</v>
      </c>
      <c r="E110" s="2" t="b">
        <v>1</v>
      </c>
    </row>
    <row r="111" spans="1:14" x14ac:dyDescent="0.3">
      <c r="A111" s="1">
        <v>2</v>
      </c>
      <c r="B111">
        <v>2</v>
      </c>
      <c r="C111">
        <v>4</v>
      </c>
      <c r="D111">
        <v>6</v>
      </c>
      <c r="E111" s="2" t="b">
        <v>1</v>
      </c>
    </row>
    <row r="112" spans="1:14" ht="15" thickBot="1" x14ac:dyDescent="0.35">
      <c r="A112" s="3">
        <v>3</v>
      </c>
      <c r="B112" s="4">
        <v>4</v>
      </c>
      <c r="C112" s="4">
        <v>4</v>
      </c>
      <c r="D112" s="4">
        <v>5</v>
      </c>
      <c r="E112" s="5" t="b">
        <v>1</v>
      </c>
    </row>
  </sheetData>
  <mergeCells count="27">
    <mergeCell ref="I5:K5"/>
    <mergeCell ref="A5:G5"/>
    <mergeCell ref="A26:G26"/>
    <mergeCell ref="F19:L19"/>
    <mergeCell ref="G12:K12"/>
    <mergeCell ref="A61:E61"/>
    <mergeCell ref="G61:K61"/>
    <mergeCell ref="A68:E68"/>
    <mergeCell ref="A75:J75"/>
    <mergeCell ref="M12:P12"/>
    <mergeCell ref="A19:D19"/>
    <mergeCell ref="A12:E12"/>
    <mergeCell ref="A33:I33"/>
    <mergeCell ref="K33:N33"/>
    <mergeCell ref="A47:D47"/>
    <mergeCell ref="I26:K26"/>
    <mergeCell ref="F47:L47"/>
    <mergeCell ref="A54:I54"/>
    <mergeCell ref="A40:F40"/>
    <mergeCell ref="H40:M40"/>
    <mergeCell ref="A108:E108"/>
    <mergeCell ref="A94:N94"/>
    <mergeCell ref="A80:L80"/>
    <mergeCell ref="A101:I101"/>
    <mergeCell ref="A87:B87"/>
    <mergeCell ref="D87:F87"/>
    <mergeCell ref="H87:L87"/>
  </mergeCells>
  <phoneticPr fontId="2" type="noConversion"/>
  <pageMargins left="0.7" right="0.7" top="0.75" bottom="0.75" header="0.3" footer="0.3"/>
  <pageSetup paperSize="9" orientation="portrait" r:id="rId1"/>
  <legacyDrawing r:id="rId2"/>
  <tableParts count="27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2026-04-02T14:34:24Z</dcterms:modified>
</cp:coreProperties>
</file>
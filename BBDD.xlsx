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0AEE6B30-F1A7-40BA-874B-197B7A9586C7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1" l="1"/>
  <c r="C65" i="1"/>
  <c r="C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<sst xmlns="http://schemas.openxmlformats.org/spreadsheetml/2006/main" count="250" uniqueCount="143">
  <si>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</si>
  <si>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</si>
  <si>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</si>
  <si>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</si>
  <si>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</si>
  <si>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</si>
  <si>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</si>
  <si>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</si>
  <si>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</si>
  <si>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</si>
  <si>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</si>
  <si>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</si>
  <si>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</si>
  <si>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</si>
  <si>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</si>
  <si>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</si>
  <si>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</si>
  <si>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</si>
  <si>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</si>
  <si>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</si>
  <si>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</si>
  <si>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</si>
  <si>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</si>
  <si>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</si>
  <si>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</si>
  <si>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</si>
  <si>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</si>
  <si>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</si>
  <si>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</si>
  <si>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</si>
  <si>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</si>
  <si>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</si>
  <si>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</si>
  <si>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</si>
  <si>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</si>
  <si>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</si>
  <si>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</si>
  <si>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</si>
  <si>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</si>
  <si>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</si>
  <si>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</si>
  <si>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</si>
  <si>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</si>
  <si>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</si>
  <si>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</si>
  <si>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</si>
  <si>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</si>
  <si>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</si>
  <si>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</si>
  <si>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</si>
  <si>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</si>
  <si>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</si>
  <si>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</si>
  <si>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</si>
  <si>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</si>
  <si>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</si>
  <si>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</si>
  <si>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</si>
  <si>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</si>
  <si>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</si>
  <si>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</si>
  <si>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</si>
  <si>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</si>
  <si>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</si>
  <si>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</si>
  <si>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</si>
  <si>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</si>
  <si>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</si>
  <si>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</si>
  <si>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</si>
  <si>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</si>
  <si>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</si>
  <si>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</si>
  <si>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</si>
  <si>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</si>
  <si>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</si>
  <si>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</si>
  <si>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</si>
  <si>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</si>
  <si>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</si>
  <si>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</si>
  <si>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</si>
  <si>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</si>
  <si>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</si>
  <si>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</si>
  <si>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</si>
  <si>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</si>
  <si>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</si>
  <si>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</si>
  <si>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</si>
  <si>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</si>
  <si>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</si>
  <si>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</si>
  <si>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</si>
  <si>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</si>
  <si>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</si>
  <si>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</si>
  <si>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</si>
  <si>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</si>
  <si>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</si>
  <si>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</si>
  <si>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</si>
  <si>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</si>
  <si>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</si>
  <si>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</si>
  <si>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</si>
  <si>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</si>
  <si>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</si>
  <si>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</si>
  <si>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</si>
  <si>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</si>
  <si>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</si>
  <si>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</si>
  <si>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AtributosPorProductos</t>
  </si>
  <si>
    <t>IDProducto</t>
  </si>
  <si>
    <t>IDAtributo</t>
  </si>
  <si>
    <t>EsPortada</t>
  </si>
  <si>
    <t>ImagenesAmbientaciones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</si>
  <si>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</si>
  <si>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</si>
  <si>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</si>
  <si>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</si>
  <si>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</si>
  <si>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</si>
  <si>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InfoInstitucional_Mails</t>
  </si>
  <si>
    <t>Compras</t>
  </si>
  <si>
    <t>RRHH</t>
  </si>
  <si>
    <t>Ventas</t>
  </si>
  <si>
    <t>InfoInstitucional_Telefonos</t>
  </si>
  <si>
    <t>Linea 1</t>
  </si>
  <si>
    <t>Linea 2</t>
  </si>
  <si>
    <t>Celular</t>
  </si>
  <si>
    <t>InfoInstitucional_Redes</t>
  </si>
  <si>
    <t>Red</t>
  </si>
  <si>
    <t>URLRed</t>
  </si>
  <si>
    <t>X</t>
  </si>
  <si>
    <t>Youtube</t>
  </si>
  <si>
    <t>Facebook</t>
  </si>
  <si>
    <t>InfoInstitucional_Empresa</t>
  </si>
  <si>
    <t>Historia</t>
  </si>
  <si>
    <t>Mision</t>
  </si>
  <si>
    <t>Vision</t>
  </si>
  <si>
    <t>FraseInstitucionalLinea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</si>
</sst>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1" fillId="4" borderId="5" xfId="0" applyFont="1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0" fillId="0" borderId="0" xfId="0" applyFill="1"/>
    <xf numFmtId="0" fontId="0" fillId="0" borderId="4" xfId="0" applyFill="1" applyBorder="1"/>
    <xf numFmtId="0" fontId="0" fillId="0" borderId="5" xfId="0" applyFill="1" applyBorder="1"/>
    <xf numFmtId="0" fontId="0" fillId="0" borderId="6" xfId="0" applyFill="1" applyBorder="1"/>
    <xf numFmtId="0" fontId="0" fillId="0" borderId="7" xfId="0" applyFill="1" applyBorder="1"/>
    <xf numFmtId="0" fontId="0" fillId="0" borderId="8" xfId="0" applyFill="1" applyBorder="1"/>
  </cellXfs>
  <cellStyles count="1">
    <cellStyle name="Normal" xfId="0" builtinId="0"/>
  </cellStyles>
  <dxfs count="47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border outline="0">
        <right style="medium">
          <color indexed="64"/>
        </right>
      </border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46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J16" totalsRowShown="0">
  <autoFilter ref="G13:J16" xr:uid="{5C307171-21C3-4D19-9190-21EBBEF7C7BE}"/>
  <tableColumns count="4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L13:O16" totalsRowShown="0">
  <autoFilter ref="L13:O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44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I27:K30" totalsRowShown="0">
  <autoFilter ref="I27:K30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43"/>
    <tableColumn id="4" xr3:uid="{36EB177E-ACE1-4B78-A56A-A9F891312B25}" name="Longitud" dataDxfId="42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L44" totalsRowShown="0" headerRowDxfId="7" dataDxfId="6">
  <autoFilter ref="H41:L44" xr:uid="{EF32F6B3-AC45-462F-BE18-EFE2DD57FE9B}"/>
  <tableColumns count="5">
    <tableColumn id="1" xr3:uid="{C8F6ED57-5FD2-4FB3-A4A5-BC3965E98B15}" name="ID" dataDxfId="12"/>
    <tableColumn id="2" xr3:uid="{65B99387-EDCD-429B-B81B-A4F58479A304}" name="IdProducto" dataDxfId="11"/>
    <tableColumn id="3" xr3:uid="{5D9C0348-2DF4-47CC-977C-AAFB9F19E959}" name="Titulo" dataDxfId="10"/>
    <tableColumn id="4" xr3:uid="{1CACB54F-DC9D-41AC-A04F-171EF34060DC}" name="URLImagen" dataDxfId="9"/>
    <tableColumn id="7" xr3:uid="{824500A6-D872-42FD-9C38-60CB54869E2F}" name="Activo" dataDxfId="8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41"/>
    <tableColumn id="7" xr3:uid="{D1025C6A-57D3-4E57-916D-CF79774C6EAF}" name="Longitud" dataDxfId="40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1" dataDxfId="0">
  <autoFilter ref="K34:N37" xr:uid="{36798AE9-B843-4477-9F23-32045BDEF7D7}"/>
  <tableColumns count="4">
    <tableColumn id="1" xr3:uid="{E050CEA3-2793-4698-9E45-C3447ADCD555}" name="ID" dataDxfId="5"/>
    <tableColumn id="2" xr3:uid="{03295AE7-34B5-4134-9D2F-2268D15B310C}" name="IDProducto" dataDxfId="4"/>
    <tableColumn id="3" xr3:uid="{1564E106-D50F-4573-A696-EE197325F0F3}" name="IDAtributo" dataDxfId="3"/>
    <tableColumn id="4" xr3:uid="{5F701778-C720-415C-9979-8380EB9AB80C}" name="Activo" dataDxfId="2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L51" totalsRowShown="0">
  <autoFilter ref="F48:L51" xr:uid="{05CA7051-E28E-4B32-9032-EE45922419A6}"/>
  <tableColumns count="7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39"/>
    <tableColumn id="5" xr3:uid="{ACBD9873-D350-427F-993B-2B1B42296D9B}" name="Longitud" dataDxfId="38"/>
    <tableColumn id="6" xr3:uid="{957CA68C-6225-4C37-B8D5-8FF8C064FB1C}" name="Zoom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D65" totalsRowShown="0" headerRowDxfId="37" dataDxfId="36">
  <autoFilter ref="A62:D65" xr:uid="{6995137C-E78D-4F26-A126-F3AEFE2A2B13}"/>
  <tableColumns count="4">
    <tableColumn id="1" xr3:uid="{7C1F763D-9A29-4F91-BB26-5F2CF68260F0}" name="ID" dataDxfId="35"/>
    <tableColumn id="2" xr3:uid="{98E75056-4A9A-4C56-8FA5-EFD4D867777B}" name="Nombre" dataDxfId="34"/>
    <tableColumn id="3" xr3:uid="{48A2AE2B-7A42-420C-8BB3-5F9F2AA01721}" name="Mail" dataDxfId="33">
      <calculatedColumnFormula>CONCATENATE(B63,"@andez.com.ar")</calculatedColumnFormula>
    </tableColumn>
    <tableColumn id="4" xr3:uid="{31D99612-66DC-4B54-A747-6C39765D7B66}" name="Activo" dataDxfId="32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F62:I65" totalsRowShown="0" headerRowDxfId="31" dataDxfId="30">
  <autoFilter ref="F62:I65" xr:uid="{89087EED-CE2D-441A-9746-B0BA56EA9A63}"/>
  <tableColumns count="4">
    <tableColumn id="1" xr3:uid="{6D3F8F4E-2473-4BE6-A51E-C3C3E4C26133}" name="ID" dataDxfId="29"/>
    <tableColumn id="2" xr3:uid="{12B007DF-889A-4CDB-93CC-EBEFCBD3A3E9}" name="Nombre" dataDxfId="28"/>
    <tableColumn id="3" xr3:uid="{A94B5F86-8442-44DD-9C03-77F51D7F5B8D}" name="Telefono" dataDxfId="27">
      <calculatedColumnFormula>CONCATENATE(G63,"@andez.com.ar")</calculatedColumnFormula>
    </tableColumn>
    <tableColumn id="4" xr3:uid="{0E412ADD-9FF3-43E1-BDA1-A917D6B1E4D7}" name="Activo" dataDxfId="26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D72" totalsRowShown="0" headerRowDxfId="25" dataDxfId="24" tableBorderDxfId="23">
  <autoFilter ref="A69:D72" xr:uid="{58000D4A-AEBA-4D49-B463-180C8FD8A937}"/>
  <tableColumns count="4">
    <tableColumn id="1" xr3:uid="{E9F2D081-00F6-4B92-9DFE-6473CB6B3F38}" name="ID" dataDxfId="22"/>
    <tableColumn id="2" xr3:uid="{DE65DD1F-F1BA-4548-A19A-4B9DD2857A6F}" name="Red" dataDxfId="21"/>
    <tableColumn id="3" xr3:uid="{23F951D4-E519-45F7-81C5-69ED4EA385E4}" name="URLRed" dataDxfId="20"/>
    <tableColumn id="4" xr3:uid="{E5F1016C-C8F1-4FEA-B687-B57CB00F2E70}" name="Activo" dataDxfId="19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F69:I72" totalsRowShown="0" headerRowDxfId="18" dataDxfId="17">
  <autoFilter ref="F69:I72" xr:uid="{A2E83C68-75BA-4C98-B80E-E4E7E2B0B82C}"/>
  <tableColumns count="4">
    <tableColumn id="1" xr3:uid="{173EAAD2-F12F-4372-8FA2-00B32059C1EB}" name="ID" dataDxfId="16"/>
    <tableColumn id="2" xr3:uid="{3E7AAA46-3847-4587-A43F-E688C1582045}" name="Titulo" dataDxfId="15"/>
    <tableColumn id="4" xr3:uid="{7727AE8E-759C-4DE1-86AE-BDFED86835D0}" name="Descripcion" dataDxfId="14"/>
    <tableColumn id="3" xr3:uid="{2D33166C-2999-4BC9-8B00-7F06B4D84FF1}" name="Activo" dataDxfId="1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comments" Target="../comments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O72"/>
  <sheetViews>
    <sheetView tabSelected="1" topLeftCell="A12" zoomScaleNormal="100" workbookViewId="0">
      <selection activeCell="K33" sqref="K33:N33"/>
    </sheetView>
  </sheetViews>
  <sheetFormatPr baseColWidth="10" defaultRowHeight="14.4" x14ac:dyDescent="0.3"/>
  <cols>
    <col min="1" max="1" width="4.6640625" bestFit="1" customWidth="1"/>
    <col min="2" max="2" width="22.77734375" bestFit="1" customWidth="1"/>
    <col min="3" max="3" width="20.6640625" bestFit="1" customWidth="1"/>
    <col min="4" max="4" width="26.44140625" bestFit="1" customWidth="1"/>
    <col min="5" max="5" width="22.44140625" bestFit="1" customWidth="1"/>
    <col min="6" max="6" width="12.109375" bestFit="1" customWidth="1"/>
    <col min="7" max="7" width="16.21875" bestFit="1" customWidth="1"/>
    <col min="8" max="8" width="22.44140625" bestFit="1" customWidth="1"/>
    <col min="9" max="9" width="16.21875" bestFit="1" customWidth="1"/>
    <col min="10" max="10" width="24.77734375" bestFit="1" customWidth="1"/>
    <col min="11" max="11" width="22.44140625" bestFit="1" customWidth="1"/>
    <col min="12" max="12" width="14.33203125" bestFit="1" customWidth="1"/>
    <col min="13" max="13" width="16.88671875" bestFit="1" customWidth="1"/>
    <col min="14" max="14" width="11.6640625" bestFit="1" customWidth="1"/>
    <col min="15" max="15" width="12.109375" bestFit="1" customWidth="1"/>
    <col min="16" max="16" width="12.6640625" bestFit="1" customWidth="1"/>
    <col min="17" max="17" width="16" bestFit="1" customWidth="1"/>
    <col min="18" max="18" width="12.109375" bestFit="1" customWidth="1"/>
  </cols>
  <sheetData>
    <row r="1" spans="1:15" x14ac:dyDescent="0.3">
      <c r="B1" s="11" t="s">
        <v>105</v>
      </c>
      <c r="C1" s="10" t="s">
        <v>106</v>
      </c>
      <c r="D1" s="12" t="s">
        <v>107</v>
      </c>
    </row>
    <row r="4" spans="1:15" ht="15" thickBot="1" x14ac:dyDescent="0.35"/>
    <row r="5" spans="1:15" x14ac:dyDescent="0.3">
      <c r="A5" s="19" t="s">
        <v>36</v>
      </c>
      <c r="B5" s="20"/>
      <c r="C5" s="20"/>
      <c r="D5" s="20"/>
      <c r="E5" s="20"/>
      <c r="F5" s="20"/>
      <c r="G5" s="21"/>
      <c r="I5" s="19" t="s">
        <v>47</v>
      </c>
      <c r="J5" s="20"/>
      <c r="K5" s="21"/>
    </row>
    <row r="6" spans="1:15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</row>
    <row r="7" spans="1:15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</row>
    <row r="8" spans="1:15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</row>
    <row r="9" spans="1:15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</row>
    <row r="11" spans="1:15" ht="15" thickBot="1" x14ac:dyDescent="0.35"/>
    <row r="12" spans="1:15" x14ac:dyDescent="0.3">
      <c r="A12" s="22" t="s">
        <v>0</v>
      </c>
      <c r="B12" s="23"/>
      <c r="C12" s="23"/>
      <c r="D12" s="23"/>
      <c r="E12" s="24"/>
      <c r="G12" s="22" t="s">
        <v>7</v>
      </c>
      <c r="H12" s="23"/>
      <c r="I12" s="23"/>
      <c r="J12" s="24"/>
      <c r="L12" s="22" t="s">
        <v>12</v>
      </c>
      <c r="M12" s="23"/>
      <c r="N12" s="23"/>
      <c r="O12" s="24"/>
    </row>
    <row r="13" spans="1:15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s="2" t="s">
        <v>3</v>
      </c>
      <c r="L13" s="1" t="s">
        <v>1</v>
      </c>
      <c r="M13" t="s">
        <v>14</v>
      </c>
      <c r="N13" t="s">
        <v>13</v>
      </c>
      <c r="O13" s="2" t="s">
        <v>3</v>
      </c>
    </row>
    <row r="14" spans="1:15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s="2" t="b">
        <v>1</v>
      </c>
      <c r="L14" s="1">
        <v>1</v>
      </c>
      <c r="M14" t="s">
        <v>15</v>
      </c>
      <c r="N14" t="s">
        <v>11</v>
      </c>
      <c r="O14" s="2" t="b">
        <v>1</v>
      </c>
    </row>
    <row r="15" spans="1:15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s="2" t="b">
        <v>1</v>
      </c>
      <c r="L15" s="1">
        <v>2</v>
      </c>
      <c r="M15" t="s">
        <v>16</v>
      </c>
      <c r="N15" t="s">
        <v>11</v>
      </c>
      <c r="O15" s="2" t="b">
        <v>1</v>
      </c>
    </row>
    <row r="16" spans="1:15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5" t="b">
        <v>0</v>
      </c>
      <c r="L16" s="3">
        <v>3</v>
      </c>
      <c r="M16" s="4" t="s">
        <v>17</v>
      </c>
      <c r="N16" s="4" t="s">
        <v>11</v>
      </c>
      <c r="O16" s="5" t="b">
        <v>1</v>
      </c>
    </row>
    <row r="18" spans="1:12" ht="15" thickBot="1" x14ac:dyDescent="0.35"/>
    <row r="19" spans="1:12" x14ac:dyDescent="0.3">
      <c r="A19" s="22" t="s">
        <v>18</v>
      </c>
      <c r="B19" s="23"/>
      <c r="C19" s="23"/>
      <c r="D19" s="24"/>
      <c r="F19" s="19" t="s">
        <v>109</v>
      </c>
      <c r="G19" s="20"/>
      <c r="H19" s="20"/>
      <c r="I19" s="20"/>
      <c r="J19" s="20"/>
      <c r="K19" s="20"/>
      <c r="L19" s="21"/>
    </row>
    <row r="20" spans="1:12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s="27" t="s">
        <v>31</v>
      </c>
      <c r="K20" s="27" t="s">
        <v>108</v>
      </c>
      <c r="L20" s="2" t="s">
        <v>3</v>
      </c>
    </row>
    <row r="21" spans="1:12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12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12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12" ht="15" thickBot="1" x14ac:dyDescent="0.35"/>
    <row r="26" spans="1:12" x14ac:dyDescent="0.3">
      <c r="A26" s="22" t="s">
        <v>34</v>
      </c>
      <c r="B26" s="23"/>
      <c r="C26" s="23"/>
      <c r="D26" s="23"/>
      <c r="E26" s="23"/>
      <c r="F26" s="23"/>
      <c r="G26" s="24"/>
      <c r="I26" s="22" t="s">
        <v>59</v>
      </c>
      <c r="J26" s="23"/>
      <c r="K26" s="24"/>
    </row>
    <row r="27" spans="1:12" x14ac:dyDescent="0.3">
      <c r="A27" s="1" t="s">
        <v>1</v>
      </c>
      <c r="B27" t="s">
        <v>32</v>
      </c>
      <c r="C27" t="s">
        <v>64</v>
      </c>
      <c r="D27" t="s">
        <v>66</v>
      </c>
      <c r="E27" s="27" t="s">
        <v>142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</row>
    <row r="28" spans="1:12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61</v>
      </c>
      <c r="K28" s="2" t="b">
        <v>1</v>
      </c>
    </row>
    <row r="29" spans="1:12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62</v>
      </c>
      <c r="K29" s="2" t="b">
        <v>1</v>
      </c>
    </row>
    <row r="30" spans="1:12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</row>
    <row r="32" spans="1:12" ht="15" thickBot="1" x14ac:dyDescent="0.35"/>
    <row r="33" spans="1:14" x14ac:dyDescent="0.3">
      <c r="A33" s="19" t="s">
        <v>55</v>
      </c>
      <c r="B33" s="20"/>
      <c r="C33" s="20"/>
      <c r="D33" s="20"/>
      <c r="E33" s="20"/>
      <c r="F33" s="20"/>
      <c r="G33" s="20"/>
      <c r="H33" s="20"/>
      <c r="I33" s="21"/>
      <c r="K33" s="19" t="s">
        <v>113</v>
      </c>
      <c r="L33" s="20"/>
      <c r="M33" s="20"/>
      <c r="N33" s="21"/>
    </row>
    <row r="34" spans="1:14" x14ac:dyDescent="0.3">
      <c r="A34" s="1" t="s">
        <v>1</v>
      </c>
      <c r="B34" s="25" t="s">
        <v>32</v>
      </c>
      <c r="C34" s="25" t="s">
        <v>33</v>
      </c>
      <c r="D34" s="25" t="s">
        <v>57</v>
      </c>
      <c r="E34" s="25" t="s">
        <v>56</v>
      </c>
      <c r="F34" s="25" t="s">
        <v>64</v>
      </c>
      <c r="G34" s="25" t="s">
        <v>65</v>
      </c>
      <c r="H34" s="26" t="s">
        <v>116</v>
      </c>
      <c r="I34" s="2" t="s">
        <v>3</v>
      </c>
      <c r="K34" s="28" t="s">
        <v>1</v>
      </c>
      <c r="L34" s="27" t="s">
        <v>114</v>
      </c>
      <c r="M34" s="27" t="s">
        <v>115</v>
      </c>
      <c r="N34" s="29" t="s">
        <v>3</v>
      </c>
    </row>
    <row r="35" spans="1:14" x14ac:dyDescent="0.3">
      <c r="A35" s="1">
        <v>1</v>
      </c>
      <c r="B35" s="25">
        <v>1</v>
      </c>
      <c r="C35" s="25">
        <v>1</v>
      </c>
      <c r="D35" s="25" t="s">
        <v>58</v>
      </c>
      <c r="E35" s="25">
        <v>1</v>
      </c>
      <c r="F35" s="25">
        <v>1</v>
      </c>
      <c r="G35" s="25" t="s">
        <v>11</v>
      </c>
      <c r="H35" s="25" t="b">
        <v>1</v>
      </c>
      <c r="I35" s="2" t="b">
        <v>1</v>
      </c>
      <c r="K35" s="28">
        <v>1</v>
      </c>
      <c r="L35" s="27">
        <v>1</v>
      </c>
      <c r="M35" s="27">
        <v>1</v>
      </c>
      <c r="N35" s="29" t="b">
        <v>1</v>
      </c>
    </row>
    <row r="36" spans="1:14" x14ac:dyDescent="0.3">
      <c r="A36" s="1">
        <v>2</v>
      </c>
      <c r="B36" s="25">
        <v>1</v>
      </c>
      <c r="C36" s="25">
        <v>2</v>
      </c>
      <c r="D36" s="25" t="s">
        <v>58</v>
      </c>
      <c r="E36" s="25">
        <v>1</v>
      </c>
      <c r="F36" s="25">
        <v>1</v>
      </c>
      <c r="G36" s="25" t="s">
        <v>11</v>
      </c>
      <c r="H36" s="25" t="b">
        <v>0</v>
      </c>
      <c r="I36" s="2" t="b">
        <v>1</v>
      </c>
      <c r="K36" s="28">
        <v>2</v>
      </c>
      <c r="L36" s="27">
        <v>1</v>
      </c>
      <c r="M36" s="27">
        <v>2</v>
      </c>
      <c r="N36" s="29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0">
        <v>3</v>
      </c>
      <c r="L37" s="31">
        <v>2</v>
      </c>
      <c r="M37" s="31">
        <v>2</v>
      </c>
      <c r="N37" s="32" t="b">
        <v>1</v>
      </c>
    </row>
    <row r="39" spans="1:14" ht="15" thickBot="1" x14ac:dyDescent="0.35"/>
    <row r="40" spans="1:14" x14ac:dyDescent="0.3">
      <c r="A40" s="19" t="s">
        <v>68</v>
      </c>
      <c r="B40" s="20"/>
      <c r="C40" s="20"/>
      <c r="D40" s="20"/>
      <c r="E40" s="20"/>
      <c r="F40" s="21"/>
      <c r="H40" s="19" t="s">
        <v>117</v>
      </c>
      <c r="I40" s="20"/>
      <c r="J40" s="20"/>
      <c r="K40" s="20"/>
      <c r="L40" s="21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28" t="s">
        <v>1</v>
      </c>
      <c r="I41" s="27" t="s">
        <v>118</v>
      </c>
      <c r="J41" s="27" t="s">
        <v>119</v>
      </c>
      <c r="K41" s="27" t="s">
        <v>120</v>
      </c>
      <c r="L41" s="29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28">
        <v>1</v>
      </c>
      <c r="I42" s="27">
        <v>1</v>
      </c>
      <c r="J42" s="27" t="s">
        <v>121</v>
      </c>
      <c r="K42" s="27" t="s">
        <v>11</v>
      </c>
      <c r="L42" s="29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28">
        <v>2</v>
      </c>
      <c r="I43" s="27">
        <v>1</v>
      </c>
      <c r="J43" s="27" t="s">
        <v>122</v>
      </c>
      <c r="K43" s="27" t="s">
        <v>11</v>
      </c>
      <c r="L43" s="29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0">
        <v>3</v>
      </c>
      <c r="I44" s="31">
        <v>2</v>
      </c>
      <c r="J44" s="31" t="s">
        <v>123</v>
      </c>
      <c r="K44" s="31" t="s">
        <v>11</v>
      </c>
      <c r="L44" s="32" t="b">
        <v>1</v>
      </c>
    </row>
    <row r="46" spans="1:14" ht="15" thickBot="1" x14ac:dyDescent="0.35"/>
    <row r="47" spans="1:14" x14ac:dyDescent="0.3">
      <c r="A47" s="19" t="s">
        <v>83</v>
      </c>
      <c r="B47" s="20"/>
      <c r="C47" s="20"/>
      <c r="D47" s="21"/>
      <c r="F47" s="19" t="s">
        <v>72</v>
      </c>
      <c r="G47" s="20"/>
      <c r="H47" s="20"/>
      <c r="I47" s="20"/>
      <c r="J47" s="20"/>
      <c r="K47" s="20"/>
      <c r="L47" s="21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s="2" t="s">
        <v>3</v>
      </c>
    </row>
    <row r="49" spans="1:12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s="2" t="b">
        <v>1</v>
      </c>
    </row>
    <row r="50" spans="1:12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s="2" t="b">
        <v>1</v>
      </c>
    </row>
    <row r="51" spans="1:12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5" t="b">
        <v>1</v>
      </c>
    </row>
    <row r="53" spans="1:12" ht="15" thickBot="1" x14ac:dyDescent="0.35"/>
    <row r="54" spans="1:12" x14ac:dyDescent="0.3">
      <c r="A54" s="19" t="s">
        <v>86</v>
      </c>
      <c r="B54" s="20"/>
      <c r="C54" s="20"/>
      <c r="D54" s="20"/>
      <c r="E54" s="20"/>
      <c r="F54" s="20"/>
      <c r="G54" s="20"/>
      <c r="H54" s="20"/>
      <c r="I54" s="21"/>
    </row>
    <row r="55" spans="1:12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2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2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2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2" ht="15" thickBot="1" x14ac:dyDescent="0.35"/>
    <row r="61" spans="1:12" x14ac:dyDescent="0.3">
      <c r="A61" s="19" t="s">
        <v>124</v>
      </c>
      <c r="B61" s="20"/>
      <c r="C61" s="20"/>
      <c r="D61" s="21"/>
      <c r="F61" s="19" t="s">
        <v>128</v>
      </c>
      <c r="G61" s="20"/>
      <c r="H61" s="20"/>
      <c r="I61" s="21"/>
    </row>
    <row r="62" spans="1:12" x14ac:dyDescent="0.3">
      <c r="A62" s="13" t="s">
        <v>1</v>
      </c>
      <c r="B62" s="10" t="s">
        <v>37</v>
      </c>
      <c r="C62" s="10" t="s">
        <v>39</v>
      </c>
      <c r="D62" s="14" t="s">
        <v>3</v>
      </c>
      <c r="F62" s="13" t="s">
        <v>1</v>
      </c>
      <c r="G62" s="10" t="s">
        <v>37</v>
      </c>
      <c r="H62" s="10" t="s">
        <v>90</v>
      </c>
      <c r="I62" s="14" t="s">
        <v>3</v>
      </c>
    </row>
    <row r="63" spans="1:12" x14ac:dyDescent="0.3">
      <c r="A63" s="13">
        <v>1</v>
      </c>
      <c r="B63" s="10" t="s">
        <v>125</v>
      </c>
      <c r="C63" s="10" t="str">
        <f>CONCATENATE(B63,"@andez.com.ar")</f>
        <v>Compras@andez.com.ar</v>
      </c>
      <c r="D63" s="14" t="b">
        <v>1</v>
      </c>
      <c r="F63" s="13">
        <v>1</v>
      </c>
      <c r="G63" s="10" t="s">
        <v>129</v>
      </c>
      <c r="H63" s="10">
        <v>45552646</v>
      </c>
      <c r="I63" s="14" t="b">
        <v>1</v>
      </c>
    </row>
    <row r="64" spans="1:12" x14ac:dyDescent="0.3">
      <c r="A64" s="13">
        <v>2</v>
      </c>
      <c r="B64" s="10" t="s">
        <v>126</v>
      </c>
      <c r="C64" s="10" t="str">
        <f t="shared" ref="C64:C65" si="0">CONCATENATE(B64,"@andez.com.ar")</f>
        <v>RRHH@andez.com.ar</v>
      </c>
      <c r="D64" s="14" t="b">
        <v>1</v>
      </c>
      <c r="F64" s="13">
        <v>2</v>
      </c>
      <c r="G64" s="10" t="s">
        <v>130</v>
      </c>
      <c r="H64" s="10">
        <v>45552646</v>
      </c>
      <c r="I64" s="14" t="b">
        <v>1</v>
      </c>
    </row>
    <row r="65" spans="1:9" ht="15" thickBot="1" x14ac:dyDescent="0.35">
      <c r="A65" s="15">
        <v>3</v>
      </c>
      <c r="B65" s="16" t="s">
        <v>127</v>
      </c>
      <c r="C65" s="16" t="str">
        <f t="shared" si="0"/>
        <v>Ventas@andez.com.ar</v>
      </c>
      <c r="D65" s="17" t="b">
        <v>1</v>
      </c>
      <c r="F65" s="15">
        <v>3</v>
      </c>
      <c r="G65" s="16" t="s">
        <v>131</v>
      </c>
      <c r="H65" s="16">
        <v>1545552646</v>
      </c>
      <c r="I65" s="17" t="b">
        <v>1</v>
      </c>
    </row>
    <row r="67" spans="1:9" ht="15" thickBot="1" x14ac:dyDescent="0.35"/>
    <row r="68" spans="1:9" x14ac:dyDescent="0.3">
      <c r="A68" s="19" t="s">
        <v>132</v>
      </c>
      <c r="B68" s="20"/>
      <c r="C68" s="20"/>
      <c r="D68" s="21"/>
      <c r="F68" s="19" t="s">
        <v>138</v>
      </c>
      <c r="G68" s="20"/>
      <c r="H68" s="20"/>
      <c r="I68" s="21"/>
    </row>
    <row r="69" spans="1:9" x14ac:dyDescent="0.3">
      <c r="A69" s="13" t="s">
        <v>1</v>
      </c>
      <c r="B69" s="10" t="s">
        <v>133</v>
      </c>
      <c r="C69" s="10" t="s">
        <v>134</v>
      </c>
      <c r="D69" s="18" t="s">
        <v>3</v>
      </c>
      <c r="F69" s="13" t="s">
        <v>1</v>
      </c>
      <c r="G69" s="10" t="s">
        <v>119</v>
      </c>
      <c r="H69" s="10" t="s">
        <v>57</v>
      </c>
      <c r="I69" s="14" t="s">
        <v>3</v>
      </c>
    </row>
    <row r="70" spans="1:9" x14ac:dyDescent="0.3">
      <c r="A70" s="13">
        <v>1</v>
      </c>
      <c r="B70" s="10" t="s">
        <v>136</v>
      </c>
      <c r="C70" s="10" t="s">
        <v>11</v>
      </c>
      <c r="D70" s="14" t="b">
        <v>1</v>
      </c>
      <c r="F70" s="13">
        <v>1</v>
      </c>
      <c r="G70" s="10" t="s">
        <v>139</v>
      </c>
      <c r="H70" s="10" t="s">
        <v>58</v>
      </c>
      <c r="I70" s="14" t="b">
        <v>1</v>
      </c>
    </row>
    <row r="71" spans="1:9" x14ac:dyDescent="0.3">
      <c r="A71" s="13">
        <v>2</v>
      </c>
      <c r="B71" s="10" t="s">
        <v>135</v>
      </c>
      <c r="C71" s="10" t="s">
        <v>11</v>
      </c>
      <c r="D71" s="14" t="b">
        <v>1</v>
      </c>
      <c r="F71" s="13">
        <v>2</v>
      </c>
      <c r="G71" s="10" t="s">
        <v>140</v>
      </c>
      <c r="H71" s="10" t="s">
        <v>58</v>
      </c>
      <c r="I71" s="14" t="b">
        <v>1</v>
      </c>
    </row>
    <row r="72" spans="1:9" ht="15" thickBot="1" x14ac:dyDescent="0.35">
      <c r="A72" s="15">
        <v>3</v>
      </c>
      <c r="B72" s="16" t="s">
        <v>137</v>
      </c>
      <c r="C72" s="16" t="s">
        <v>11</v>
      </c>
      <c r="D72" s="17" t="b">
        <v>1</v>
      </c>
      <c r="F72" s="15">
        <v>3</v>
      </c>
      <c r="G72" s="16" t="s">
        <v>141</v>
      </c>
      <c r="H72" s="16" t="s">
        <v>58</v>
      </c>
      <c r="I72" s="17" t="b">
        <v>1</v>
      </c>
    </row>
  </sheetData>
  <mergeCells count="20">
    <mergeCell ref="L12:O12"/>
    <mergeCell ref="A19:D19"/>
    <mergeCell ref="A12:E12"/>
    <mergeCell ref="A33:I33"/>
    <mergeCell ref="I5:K5"/>
    <mergeCell ref="A5:G5"/>
    <mergeCell ref="G12:J12"/>
    <mergeCell ref="A40:F40"/>
    <mergeCell ref="A26:G26"/>
    <mergeCell ref="F19:L19"/>
    <mergeCell ref="K33:N33"/>
    <mergeCell ref="A47:D47"/>
    <mergeCell ref="I26:K26"/>
    <mergeCell ref="F68:I68"/>
    <mergeCell ref="F47:L47"/>
    <mergeCell ref="H40:L40"/>
    <mergeCell ref="A61:D61"/>
    <mergeCell ref="F61:I61"/>
    <mergeCell ref="A68:D68"/>
    <mergeCell ref="A54:I54"/>
  </mergeCells>
  <phoneticPr fontId="2" type="noConversion"/>
  <pageMargins left="0.7" right="0.7" top="0.75" bottom="0.75" header="0.3" footer="0.3"/>
  <pageSetup paperSize="9" orientation="portrait" r:id="rId1"/>
  <legacyDrawing r:id="rId2"/>
  <tableParts count="2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2026-02-06T09:53:44Z</dcterms:modified>
</cp:coreProperties>
</file>